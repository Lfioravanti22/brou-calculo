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llyasoc.sharepoint.com/sites/Soluciones-Actuariales/Documentos compartidos/CLIENTES/BROU/PCE/Recalculo/Abril 2026/"/>
    </mc:Choice>
  </mc:AlternateContent>
  <xr:revisionPtr revIDLastSave="2727" documentId="11_42CD4CCB9647DD0BA9522A541AE4E56B058C1D3B" xr6:coauthVersionLast="47" xr6:coauthVersionMax="47" xr10:uidLastSave="{4CC4F361-331C-4059-A02E-726479367207}"/>
  <bookViews>
    <workbookView xWindow="-110" yWindow="-110" windowWidth="19420" windowHeight="10300" tabRatio="839" activeTab="3" xr2:uid="{00000000-000D-0000-FFFF-FFFF00000000}"/>
  </bookViews>
  <sheets>
    <sheet name="Resumen PE" sheetId="12" r:id="rId1"/>
    <sheet name="Cartera_Viva-Otros" sheetId="11" r:id="rId2"/>
    <sheet name="Cartera_Viva-Calls" sheetId="6" r:id="rId3"/>
    <sheet name="Saldos_No_Util" sheetId="8" r:id="rId4"/>
    <sheet name="Diccionario" sheetId="9" r:id="rId5"/>
    <sheet name="rubros_a_considerar" sheetId="4" r:id="rId6"/>
    <sheet name="Cartera Completa" sheetId="18" r:id="rId7"/>
  </sheets>
  <externalReferences>
    <externalReference r:id="rId8"/>
    <externalReference r:id="rId9"/>
    <externalReference r:id="rId10"/>
    <externalReference r:id="rId11"/>
  </externalReferences>
  <definedNames>
    <definedName name="_xlnm._FilterDatabase" localSheetId="6" hidden="1">'Cartera Completa'!$A$1:$AO$249</definedName>
    <definedName name="_xlnm._FilterDatabase" localSheetId="1" hidden="1">'Cartera_Viva-Otros'!$A$1:$AO$175</definedName>
    <definedName name="_xlnm._FilterDatabase" localSheetId="4" hidden="1">Diccionario!$B$1:$E$65</definedName>
    <definedName name="_xlnm._FilterDatabase" localSheetId="3" hidden="1">Saldos_No_Util!$A$1:$Q$65</definedName>
    <definedName name="_Order1" hidden="1">255</definedName>
    <definedName name="_Order2" hidden="1">255</definedName>
    <definedName name="RECAUDACION___ACUERDOS_DE_PAGO_EN_OFICINAS_COMERCIALES">#REF!</definedName>
    <definedName name="TABLE">'[1]Comparación (2)'!$D$15:$U$15</definedName>
    <definedName name="TABLE_2">'[1]Comparación (2)'!$D$16:$U$16</definedName>
    <definedName name="TABLE_201">'[1]Comparación (2)'!$B$12:$U$19</definedName>
    <definedName name="TABLE01">'[1]Comparación (2)'!$B$2:$T$9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" i="11" l="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30" i="11"/>
  <c r="AO31" i="11"/>
  <c r="AO32" i="11"/>
  <c r="AO33" i="11"/>
  <c r="AO34" i="11"/>
  <c r="AO35" i="11"/>
  <c r="AO36" i="11"/>
  <c r="AO37" i="11"/>
  <c r="AO38" i="11"/>
  <c r="AO39" i="11"/>
  <c r="AO40" i="11"/>
  <c r="AO41" i="11"/>
  <c r="AO42" i="11"/>
  <c r="AO43" i="11"/>
  <c r="AO44" i="11"/>
  <c r="AO45" i="11"/>
  <c r="AO46" i="11"/>
  <c r="AO47" i="11"/>
  <c r="AO48" i="11"/>
  <c r="AO49" i="11"/>
  <c r="AO50" i="11"/>
  <c r="AO51" i="11"/>
  <c r="AO52" i="11"/>
  <c r="AO53" i="11"/>
  <c r="AO54" i="11"/>
  <c r="AO55" i="11"/>
  <c r="AO56" i="11"/>
  <c r="AO57" i="11"/>
  <c r="AO58" i="11"/>
  <c r="AO59" i="11"/>
  <c r="AO60" i="11"/>
  <c r="AO61" i="11"/>
  <c r="AO62" i="11"/>
  <c r="AO63" i="11"/>
  <c r="AO64" i="11"/>
  <c r="AO65" i="11"/>
  <c r="AO66" i="11"/>
  <c r="AO67" i="11"/>
  <c r="AO68" i="11"/>
  <c r="AO69" i="11"/>
  <c r="AO70" i="11"/>
  <c r="AO71" i="11"/>
  <c r="AO72" i="11"/>
  <c r="AO73" i="11"/>
  <c r="AO74" i="11"/>
  <c r="AO75" i="11"/>
  <c r="AO76" i="11"/>
  <c r="AO77" i="11"/>
  <c r="AO78" i="11"/>
  <c r="AO79" i="11"/>
  <c r="AO80" i="11"/>
  <c r="AO81" i="11"/>
  <c r="AO82" i="11"/>
  <c r="AO83" i="11"/>
  <c r="AO84" i="11"/>
  <c r="AO85" i="11"/>
  <c r="AO86" i="11"/>
  <c r="AO87" i="11"/>
  <c r="AO88" i="11"/>
  <c r="AO89" i="11"/>
  <c r="AO90" i="11"/>
  <c r="AO91" i="11"/>
  <c r="AO92" i="11"/>
  <c r="AO93" i="11"/>
  <c r="AO94" i="11"/>
  <c r="AO95" i="11"/>
  <c r="AO96" i="11"/>
  <c r="AO97" i="11"/>
  <c r="AO98" i="11"/>
  <c r="AO99" i="11"/>
  <c r="AO100" i="11"/>
  <c r="AO101" i="11"/>
  <c r="AO102" i="11"/>
  <c r="AO103" i="11"/>
  <c r="AO104" i="11"/>
  <c r="AO105" i="11"/>
  <c r="AO106" i="11"/>
  <c r="AO107" i="11"/>
  <c r="AO108" i="11"/>
  <c r="AO109" i="11"/>
  <c r="AO110" i="11"/>
  <c r="AO111" i="11"/>
  <c r="AO112" i="11"/>
  <c r="AO113" i="11"/>
  <c r="AO114" i="11"/>
  <c r="AO115" i="11"/>
  <c r="AO116" i="11"/>
  <c r="AO117" i="11"/>
  <c r="AO118" i="11"/>
  <c r="AO119" i="11"/>
  <c r="AO120" i="11"/>
  <c r="AO121" i="11"/>
  <c r="AO122" i="11"/>
  <c r="AO123" i="11"/>
  <c r="AO124" i="11"/>
  <c r="AO125" i="11"/>
  <c r="AO126" i="11"/>
  <c r="AO127" i="11"/>
  <c r="AO128" i="11"/>
  <c r="AO129" i="11"/>
  <c r="AO130" i="11"/>
  <c r="AO131" i="11"/>
  <c r="AO132" i="11"/>
  <c r="AO133" i="11"/>
  <c r="AO134" i="11"/>
  <c r="AO135" i="11"/>
  <c r="AO136" i="11"/>
  <c r="AO137" i="11"/>
  <c r="AO138" i="11"/>
  <c r="AO139" i="11"/>
  <c r="AO140" i="11"/>
  <c r="AO141" i="11"/>
  <c r="AO142" i="11"/>
  <c r="AO143" i="11"/>
  <c r="AO144" i="11"/>
  <c r="AO145" i="11"/>
  <c r="AO146" i="11"/>
  <c r="AO147" i="11"/>
  <c r="AO148" i="11"/>
  <c r="AO149" i="11"/>
  <c r="AO150" i="11"/>
  <c r="AO151" i="11"/>
  <c r="AO152" i="11"/>
  <c r="AO153" i="11"/>
  <c r="AO154" i="11"/>
  <c r="AO155" i="11"/>
  <c r="AO156" i="11"/>
  <c r="AO157" i="11"/>
  <c r="AO158" i="11"/>
  <c r="AO159" i="11"/>
  <c r="AO160" i="11"/>
  <c r="AO161" i="11"/>
  <c r="AO162" i="11"/>
  <c r="AO163" i="11"/>
  <c r="AO164" i="11"/>
  <c r="AO165" i="11"/>
  <c r="AO166" i="11"/>
  <c r="AO167" i="11"/>
  <c r="AO168" i="11"/>
  <c r="AO169" i="11"/>
  <c r="AO170" i="11"/>
  <c r="AO171" i="11"/>
  <c r="AO172" i="11"/>
  <c r="AO173" i="11"/>
  <c r="AO174" i="11"/>
  <c r="AO175" i="11"/>
  <c r="AO2" i="11"/>
  <c r="Y157" i="11"/>
  <c r="Z157" i="11" s="1"/>
  <c r="AB157" i="11"/>
  <c r="AC157" i="11"/>
  <c r="AM157" i="11" s="1"/>
  <c r="Y158" i="11"/>
  <c r="Z158" i="11" s="1"/>
  <c r="AB158" i="11"/>
  <c r="AC158" i="11"/>
  <c r="AM158" i="11" s="1"/>
  <c r="Y159" i="11"/>
  <c r="Z159" i="11" s="1"/>
  <c r="AB159" i="11"/>
  <c r="AC159" i="11"/>
  <c r="AM159" i="11" s="1"/>
  <c r="Y160" i="11"/>
  <c r="Z160" i="11" s="1"/>
  <c r="AB160" i="11"/>
  <c r="AC160" i="11"/>
  <c r="AM160" i="11"/>
  <c r="Y161" i="11"/>
  <c r="Z161" i="11" s="1"/>
  <c r="AB161" i="11"/>
  <c r="AC161" i="11"/>
  <c r="AM161" i="11" s="1"/>
  <c r="Y162" i="11"/>
  <c r="Z162" i="11" s="1"/>
  <c r="AB162" i="11"/>
  <c r="AC162" i="11"/>
  <c r="AM162" i="11" s="1"/>
  <c r="Y163" i="11"/>
  <c r="Z163" i="11" s="1"/>
  <c r="AB163" i="11"/>
  <c r="AC163" i="11"/>
  <c r="AM163" i="11" s="1"/>
  <c r="Y164" i="11"/>
  <c r="Z164" i="11" s="1"/>
  <c r="AB164" i="11"/>
  <c r="AC164" i="11"/>
  <c r="AM164" i="11" s="1"/>
  <c r="Y165" i="11"/>
  <c r="Z165" i="11" s="1"/>
  <c r="AB165" i="11"/>
  <c r="AC165" i="11"/>
  <c r="AM165" i="11" s="1"/>
  <c r="Y166" i="11"/>
  <c r="Z166" i="11" s="1"/>
  <c r="AB166" i="11"/>
  <c r="AC166" i="11"/>
  <c r="AM166" i="11" s="1"/>
  <c r="Y167" i="11"/>
  <c r="Z167" i="11" s="1"/>
  <c r="AB167" i="11"/>
  <c r="AC167" i="11"/>
  <c r="AM167" i="11" s="1"/>
  <c r="Y168" i="11"/>
  <c r="Z168" i="11" s="1"/>
  <c r="AB168" i="11"/>
  <c r="AC168" i="11"/>
  <c r="AM168" i="11" s="1"/>
  <c r="Y169" i="11"/>
  <c r="Z169" i="11" s="1"/>
  <c r="AB169" i="11"/>
  <c r="AC169" i="11"/>
  <c r="AM169" i="11"/>
  <c r="Y170" i="11"/>
  <c r="Z170" i="11" s="1"/>
  <c r="AB170" i="11"/>
  <c r="AC170" i="11"/>
  <c r="AM170" i="11" s="1"/>
  <c r="Y171" i="11"/>
  <c r="Z171" i="11" s="1"/>
  <c r="AB171" i="11"/>
  <c r="AC171" i="11"/>
  <c r="AM171" i="11" s="1"/>
  <c r="Y172" i="11"/>
  <c r="Z172" i="11" s="1"/>
  <c r="AB172" i="11"/>
  <c r="AC172" i="11"/>
  <c r="AM172" i="11" s="1"/>
  <c r="Y173" i="11"/>
  <c r="Z173" i="11" s="1"/>
  <c r="AB173" i="11"/>
  <c r="AC173" i="11"/>
  <c r="AM173" i="11" s="1"/>
  <c r="Y174" i="11"/>
  <c r="Z174" i="11" s="1"/>
  <c r="AB174" i="11"/>
  <c r="AC174" i="11"/>
  <c r="AM174" i="11" s="1"/>
  <c r="Y175" i="11"/>
  <c r="Z175" i="11" s="1"/>
  <c r="AB175" i="11"/>
  <c r="AC175" i="11"/>
  <c r="AM175" i="11" s="1"/>
  <c r="AK173" i="11" l="1"/>
  <c r="AD173" i="11"/>
  <c r="AE173" i="11" s="1"/>
  <c r="AL173" i="11"/>
  <c r="AK157" i="11"/>
  <c r="AL157" i="11"/>
  <c r="AD157" i="11"/>
  <c r="AE157" i="11" s="1"/>
  <c r="AJ158" i="11"/>
  <c r="AK158" i="11"/>
  <c r="AD158" i="11"/>
  <c r="AE158" i="11" s="1"/>
  <c r="AL158" i="11"/>
  <c r="AK175" i="11"/>
  <c r="AL175" i="11"/>
  <c r="AD175" i="11"/>
  <c r="AE175" i="11" s="1"/>
  <c r="AK167" i="11"/>
  <c r="AD167" i="11"/>
  <c r="AE167" i="11" s="1"/>
  <c r="AL167" i="11"/>
  <c r="AK159" i="11"/>
  <c r="AD159" i="11"/>
  <c r="AE159" i="11" s="1"/>
  <c r="AL159" i="11"/>
  <c r="AK166" i="11"/>
  <c r="AD166" i="11"/>
  <c r="AE166" i="11" s="1"/>
  <c r="AL166" i="11"/>
  <c r="AK168" i="11"/>
  <c r="AD168" i="11"/>
  <c r="AE168" i="11" s="1"/>
  <c r="AL168" i="11"/>
  <c r="AK161" i="11"/>
  <c r="AL161" i="11"/>
  <c r="AD161" i="11"/>
  <c r="AE161" i="11" s="1"/>
  <c r="AK165" i="11"/>
  <c r="AD165" i="11"/>
  <c r="AE165" i="11" s="1"/>
  <c r="AL165" i="11"/>
  <c r="AK174" i="11"/>
  <c r="AD174" i="11"/>
  <c r="AE174" i="11" s="1"/>
  <c r="AL174" i="11"/>
  <c r="AK160" i="11"/>
  <c r="AD160" i="11"/>
  <c r="AE160" i="11" s="1"/>
  <c r="AL160" i="11"/>
  <c r="AK169" i="11"/>
  <c r="AD169" i="11"/>
  <c r="AE169" i="11" s="1"/>
  <c r="AL169" i="11"/>
  <c r="AK170" i="11"/>
  <c r="AD170" i="11"/>
  <c r="AE170" i="11" s="1"/>
  <c r="AL170" i="11"/>
  <c r="AK162" i="11"/>
  <c r="AD162" i="11"/>
  <c r="AE162" i="11" s="1"/>
  <c r="AL162" i="11"/>
  <c r="AK171" i="11"/>
  <c r="AD171" i="11"/>
  <c r="AE171" i="11" s="1"/>
  <c r="AL171" i="11"/>
  <c r="AK163" i="11"/>
  <c r="AD163" i="11"/>
  <c r="AE163" i="11" s="1"/>
  <c r="AL163" i="11"/>
  <c r="AK172" i="11"/>
  <c r="AD172" i="11"/>
  <c r="AE172" i="11" s="1"/>
  <c r="AL172" i="11"/>
  <c r="AK164" i="11"/>
  <c r="AD164" i="11"/>
  <c r="AE164" i="11" s="1"/>
  <c r="AL164" i="11"/>
  <c r="AO2" i="18"/>
  <c r="AO4" i="18"/>
  <c r="AO95" i="18"/>
  <c r="AO96" i="18"/>
  <c r="AO97" i="18"/>
  <c r="AO109" i="18"/>
  <c r="AO110" i="18"/>
  <c r="AO112" i="18"/>
  <c r="AO111" i="18"/>
  <c r="AO113" i="18"/>
  <c r="AO114" i="18"/>
  <c r="AO116" i="18"/>
  <c r="AO115" i="18"/>
  <c r="AO117" i="18"/>
  <c r="AO118" i="18"/>
  <c r="AO123" i="18"/>
  <c r="AO122" i="18"/>
  <c r="AO124" i="18"/>
  <c r="AO125" i="18"/>
  <c r="AO128" i="18"/>
  <c r="AO127" i="18"/>
  <c r="AO129" i="18"/>
  <c r="AO130" i="18"/>
  <c r="AO136" i="18"/>
  <c r="AO131" i="18"/>
  <c r="AO139" i="18"/>
  <c r="AO140" i="18"/>
  <c r="AO142" i="18"/>
  <c r="AO141" i="18"/>
  <c r="AO143" i="18"/>
  <c r="AO144" i="18"/>
  <c r="AO146" i="18"/>
  <c r="AO145" i="18"/>
  <c r="AO147" i="18"/>
  <c r="AO148" i="18"/>
  <c r="AO150" i="18"/>
  <c r="AO149" i="18"/>
  <c r="AO151" i="18"/>
  <c r="AO152" i="18"/>
  <c r="AO154" i="18"/>
  <c r="AO153" i="18"/>
  <c r="AO156" i="18"/>
  <c r="AO157" i="18"/>
  <c r="AO159" i="18"/>
  <c r="AO158" i="18"/>
  <c r="AO160" i="18"/>
  <c r="AO161" i="18"/>
  <c r="AO163" i="18"/>
  <c r="AO162" i="18"/>
  <c r="AO164" i="18"/>
  <c r="AO165" i="18"/>
  <c r="AO167" i="18"/>
  <c r="AO166" i="18"/>
  <c r="AO168" i="18"/>
  <c r="AO169" i="18"/>
  <c r="AO172" i="18"/>
  <c r="AO171" i="18"/>
  <c r="AO174" i="18"/>
  <c r="AO175" i="18"/>
  <c r="AO179" i="18"/>
  <c r="AO177" i="18"/>
  <c r="AO180" i="18"/>
  <c r="AO181" i="18"/>
  <c r="AO185" i="18"/>
  <c r="AO182" i="18"/>
  <c r="AO186" i="18"/>
  <c r="AO188" i="18"/>
  <c r="AO192" i="18"/>
  <c r="AO190" i="18"/>
  <c r="AO193" i="18"/>
  <c r="AO194" i="18"/>
  <c r="AO196" i="18"/>
  <c r="AO195" i="18"/>
  <c r="AO197" i="18"/>
  <c r="AO198" i="18"/>
  <c r="AO202" i="18"/>
  <c r="AO200" i="18"/>
  <c r="AO203" i="18"/>
  <c r="AO204" i="18"/>
  <c r="AO207" i="18"/>
  <c r="AO205" i="18"/>
  <c r="AO209" i="18"/>
  <c r="AO210" i="18"/>
  <c r="AO213" i="18"/>
  <c r="AO212" i="18"/>
  <c r="AO215" i="18"/>
  <c r="AO217" i="18"/>
  <c r="AO221" i="18"/>
  <c r="AO219" i="18"/>
  <c r="AO222" i="18"/>
  <c r="AO224" i="18"/>
  <c r="AO227" i="18"/>
  <c r="AO226" i="18"/>
  <c r="AO229" i="18"/>
  <c r="AO230" i="18"/>
  <c r="AO232" i="18"/>
  <c r="AO231" i="18"/>
  <c r="AO234" i="18"/>
  <c r="AO236" i="18"/>
  <c r="AO238" i="18"/>
  <c r="AO237" i="18"/>
  <c r="AO240" i="18"/>
  <c r="AO241" i="18"/>
  <c r="AO243" i="18"/>
  <c r="AO242" i="18"/>
  <c r="AO245" i="18"/>
  <c r="AO246" i="18"/>
  <c r="AO249" i="18"/>
  <c r="AO247" i="18"/>
  <c r="AO170" i="18"/>
  <c r="AO176" i="18"/>
  <c r="AO173" i="18"/>
  <c r="AO178" i="18"/>
  <c r="AO183" i="18"/>
  <c r="AO187" i="18"/>
  <c r="AO184" i="18"/>
  <c r="AO189" i="18"/>
  <c r="AO191" i="18"/>
  <c r="AO201" i="18"/>
  <c r="AO199" i="18"/>
  <c r="AO206" i="18"/>
  <c r="AO208" i="18"/>
  <c r="AO214" i="18"/>
  <c r="AO211" i="18"/>
  <c r="AO216" i="18"/>
  <c r="AO218" i="18"/>
  <c r="AO223" i="18"/>
  <c r="AO220" i="18"/>
  <c r="AO225" i="18"/>
  <c r="AO228" i="18"/>
  <c r="AO235" i="18"/>
  <c r="AO233" i="18"/>
  <c r="AO239" i="18"/>
  <c r="AO244" i="18"/>
  <c r="AO248" i="18"/>
  <c r="AO79" i="18"/>
  <c r="AO81" i="18"/>
  <c r="AO80" i="18"/>
  <c r="AO82" i="18"/>
  <c r="AO83" i="18"/>
  <c r="AO85" i="18"/>
  <c r="AO84" i="18"/>
  <c r="AO86" i="18"/>
  <c r="AO87" i="18"/>
  <c r="AO89" i="18"/>
  <c r="AO88" i="18"/>
  <c r="AO90" i="18"/>
  <c r="AO91" i="18"/>
  <c r="AO93" i="18"/>
  <c r="AO92" i="18"/>
  <c r="AO94" i="18"/>
  <c r="AO98" i="18"/>
  <c r="AO100" i="18"/>
  <c r="AO99" i="18"/>
  <c r="AO101" i="18"/>
  <c r="AO104" i="18"/>
  <c r="AO102" i="18"/>
  <c r="AO103" i="18"/>
  <c r="AO106" i="18"/>
  <c r="AO105" i="18"/>
  <c r="AO107" i="18"/>
  <c r="AO108" i="18"/>
  <c r="AO119" i="18"/>
  <c r="AO120" i="18"/>
  <c r="AO126" i="18"/>
  <c r="AO121" i="18"/>
  <c r="AO132" i="18"/>
  <c r="AO133" i="18"/>
  <c r="AO134" i="18"/>
  <c r="AO135" i="18"/>
  <c r="AO137" i="18"/>
  <c r="AO138" i="18"/>
  <c r="AO155" i="18"/>
  <c r="AO71" i="18"/>
  <c r="AO72" i="18"/>
  <c r="AO13" i="18"/>
  <c r="AO18" i="18"/>
  <c r="AO17" i="18"/>
  <c r="AO19" i="18"/>
  <c r="AO20" i="18"/>
  <c r="AO22" i="18"/>
  <c r="AO21" i="18"/>
  <c r="AO23" i="18"/>
  <c r="AO24" i="18"/>
  <c r="AO25" i="18"/>
  <c r="AO26" i="18"/>
  <c r="AO28" i="18"/>
  <c r="AO29" i="18"/>
  <c r="AO31" i="18"/>
  <c r="AO30" i="18"/>
  <c r="AO32" i="18"/>
  <c r="AO33" i="18"/>
  <c r="AO35" i="18"/>
  <c r="AO34" i="18"/>
  <c r="AO36" i="18"/>
  <c r="AO37" i="18"/>
  <c r="AO39" i="18"/>
  <c r="AO38" i="18"/>
  <c r="AO40" i="18"/>
  <c r="AO41" i="18"/>
  <c r="AO43" i="18"/>
  <c r="AO42" i="18"/>
  <c r="AO46" i="18"/>
  <c r="AO48" i="18"/>
  <c r="AO51" i="18"/>
  <c r="AO50" i="18"/>
  <c r="AO52" i="18"/>
  <c r="AO53" i="18"/>
  <c r="AO56" i="18"/>
  <c r="AO55" i="18"/>
  <c r="AO57" i="18"/>
  <c r="AO58" i="18"/>
  <c r="AO60" i="18"/>
  <c r="AO59" i="18"/>
  <c r="AO61" i="18"/>
  <c r="AO62" i="18"/>
  <c r="AO64" i="18"/>
  <c r="AO63" i="18"/>
  <c r="AO65" i="18"/>
  <c r="AO66" i="18"/>
  <c r="AO68" i="18"/>
  <c r="AO67" i="18"/>
  <c r="AO69" i="18"/>
  <c r="AO70" i="18"/>
  <c r="AO75" i="18"/>
  <c r="AO5" i="18"/>
  <c r="AO7" i="18"/>
  <c r="AO6" i="18"/>
  <c r="AO8" i="18"/>
  <c r="AO10" i="18"/>
  <c r="AO12" i="18"/>
  <c r="AO14" i="18"/>
  <c r="AO16" i="18"/>
  <c r="AO15" i="18"/>
  <c r="AO27" i="18"/>
  <c r="AO44" i="18"/>
  <c r="AO47" i="18"/>
  <c r="AO45" i="18"/>
  <c r="AO49" i="18"/>
  <c r="AO54" i="18"/>
  <c r="AO74" i="18"/>
  <c r="AO73" i="18"/>
  <c r="AO9" i="18"/>
  <c r="AO11" i="18"/>
  <c r="AO77" i="18"/>
  <c r="AO76" i="18"/>
  <c r="AO78" i="18"/>
  <c r="AO3" i="18"/>
  <c r="AJ165" i="11" l="1"/>
  <c r="AJ175" i="11"/>
  <c r="AN175" i="11" s="1"/>
  <c r="AJ171" i="11"/>
  <c r="AN171" i="11" s="1"/>
  <c r="AJ174" i="11"/>
  <c r="AN174" i="11" s="1"/>
  <c r="AJ166" i="11"/>
  <c r="AN166" i="11" s="1"/>
  <c r="AJ162" i="11"/>
  <c r="AN162" i="11" s="1"/>
  <c r="AJ167" i="11"/>
  <c r="AN167" i="11" s="1"/>
  <c r="AJ172" i="11"/>
  <c r="AN172" i="11" s="1"/>
  <c r="AN165" i="11"/>
  <c r="AJ157" i="11"/>
  <c r="AN157" i="11" s="1"/>
  <c r="AJ169" i="11"/>
  <c r="AN169" i="11" s="1"/>
  <c r="AJ164" i="11"/>
  <c r="AN164" i="11" s="1"/>
  <c r="AJ170" i="11"/>
  <c r="AN170" i="11" s="1"/>
  <c r="AJ159" i="11"/>
  <c r="AN159" i="11" s="1"/>
  <c r="AJ163" i="11"/>
  <c r="AN163" i="11" s="1"/>
  <c r="AN158" i="11"/>
  <c r="AJ160" i="11"/>
  <c r="AN160" i="11" s="1"/>
  <c r="AJ173" i="11"/>
  <c r="AN173" i="11" s="1"/>
  <c r="AJ161" i="11"/>
  <c r="AN161" i="11" s="1"/>
  <c r="AJ168" i="11"/>
  <c r="AN168" i="11" s="1"/>
  <c r="D3" i="8"/>
  <c r="E3" i="8"/>
  <c r="D4" i="8"/>
  <c r="E4" i="8"/>
  <c r="D5" i="8"/>
  <c r="E5" i="8"/>
  <c r="D6" i="8"/>
  <c r="E6" i="8"/>
  <c r="D7" i="8"/>
  <c r="E7" i="8"/>
  <c r="D8" i="8"/>
  <c r="E8" i="8"/>
  <c r="D9" i="8"/>
  <c r="E9" i="8"/>
  <c r="D10" i="8"/>
  <c r="E10" i="8"/>
  <c r="D11" i="8"/>
  <c r="E11" i="8"/>
  <c r="D12" i="8"/>
  <c r="E12" i="8"/>
  <c r="D13" i="8"/>
  <c r="E13" i="8"/>
  <c r="D14" i="8"/>
  <c r="E14" i="8"/>
  <c r="D15" i="8"/>
  <c r="E15" i="8"/>
  <c r="D16" i="8"/>
  <c r="E16" i="8"/>
  <c r="D17" i="8"/>
  <c r="E17" i="8"/>
  <c r="D18" i="8"/>
  <c r="E18" i="8"/>
  <c r="D19" i="8"/>
  <c r="E19" i="8"/>
  <c r="D20" i="8"/>
  <c r="E20" i="8"/>
  <c r="D21" i="8"/>
  <c r="E21" i="8"/>
  <c r="D22" i="8"/>
  <c r="E22" i="8"/>
  <c r="D23" i="8"/>
  <c r="E23" i="8"/>
  <c r="D24" i="8"/>
  <c r="E24" i="8"/>
  <c r="D25" i="8"/>
  <c r="E25" i="8"/>
  <c r="D26" i="8"/>
  <c r="E26" i="8"/>
  <c r="D27" i="8"/>
  <c r="E27" i="8"/>
  <c r="D28" i="8"/>
  <c r="E28" i="8"/>
  <c r="D29" i="8"/>
  <c r="E29" i="8"/>
  <c r="D30" i="8"/>
  <c r="E30" i="8"/>
  <c r="D31" i="8"/>
  <c r="E31" i="8"/>
  <c r="D32" i="8"/>
  <c r="E32" i="8"/>
  <c r="D33" i="8"/>
  <c r="E33" i="8"/>
  <c r="D34" i="8"/>
  <c r="E34" i="8"/>
  <c r="D35" i="8"/>
  <c r="E35" i="8"/>
  <c r="D36" i="8"/>
  <c r="E36" i="8"/>
  <c r="D37" i="8"/>
  <c r="E37" i="8"/>
  <c r="D38" i="8"/>
  <c r="E38" i="8"/>
  <c r="D39" i="8"/>
  <c r="E39" i="8"/>
  <c r="D40" i="8"/>
  <c r="E40" i="8"/>
  <c r="D41" i="8"/>
  <c r="E41" i="8"/>
  <c r="D42" i="8"/>
  <c r="E42" i="8"/>
  <c r="D43" i="8"/>
  <c r="E43" i="8"/>
  <c r="D44" i="8"/>
  <c r="E44" i="8"/>
  <c r="D45" i="8"/>
  <c r="E45" i="8"/>
  <c r="D46" i="8"/>
  <c r="E46" i="8"/>
  <c r="D47" i="8"/>
  <c r="E47" i="8"/>
  <c r="D48" i="8"/>
  <c r="E48" i="8"/>
  <c r="D49" i="8"/>
  <c r="E49" i="8"/>
  <c r="D50" i="8"/>
  <c r="E50" i="8"/>
  <c r="D51" i="8"/>
  <c r="E51" i="8"/>
  <c r="D52" i="8"/>
  <c r="E52" i="8"/>
  <c r="D53" i="8"/>
  <c r="E53" i="8"/>
  <c r="D54" i="8"/>
  <c r="E54" i="8"/>
  <c r="D55" i="8"/>
  <c r="E55" i="8"/>
  <c r="D56" i="8"/>
  <c r="E56" i="8"/>
  <c r="D57" i="8"/>
  <c r="E57" i="8"/>
  <c r="D58" i="8"/>
  <c r="E58" i="8"/>
  <c r="D59" i="8"/>
  <c r="E59" i="8"/>
  <c r="D60" i="8"/>
  <c r="E60" i="8"/>
  <c r="D61" i="8"/>
  <c r="E61" i="8"/>
  <c r="D62" i="8"/>
  <c r="E62" i="8"/>
  <c r="E2" i="8"/>
  <c r="D2" i="8"/>
  <c r="C2" i="8"/>
  <c r="M2" i="9" l="1"/>
  <c r="M3" i="9"/>
  <c r="AC7" i="6" l="1"/>
  <c r="Y7" i="6"/>
  <c r="AF7" i="6"/>
  <c r="AC8" i="6"/>
  <c r="Y8" i="6"/>
  <c r="AC3" i="11"/>
  <c r="AM3" i="11" s="1"/>
  <c r="AC4" i="11"/>
  <c r="AM4" i="11" s="1"/>
  <c r="AC5" i="11"/>
  <c r="AM5" i="11" s="1"/>
  <c r="AC6" i="11"/>
  <c r="AC7" i="11"/>
  <c r="AC8" i="11"/>
  <c r="AM8" i="11" s="1"/>
  <c r="AC9" i="11"/>
  <c r="AM9" i="11" s="1"/>
  <c r="AC10" i="11"/>
  <c r="AM10" i="11" s="1"/>
  <c r="AC11" i="11"/>
  <c r="AM11" i="11" s="1"/>
  <c r="AC12" i="11"/>
  <c r="AM12" i="11" s="1"/>
  <c r="AC13" i="11"/>
  <c r="AM13" i="11" s="1"/>
  <c r="AC14" i="11"/>
  <c r="AC15" i="11"/>
  <c r="AC16" i="11"/>
  <c r="AM16" i="11" s="1"/>
  <c r="AC17" i="11"/>
  <c r="AM17" i="11" s="1"/>
  <c r="AC18" i="11"/>
  <c r="AM18" i="11" s="1"/>
  <c r="AC19" i="11"/>
  <c r="AM19" i="11" s="1"/>
  <c r="AC20" i="11"/>
  <c r="AM20" i="11" s="1"/>
  <c r="AC21" i="11"/>
  <c r="AM21" i="11" s="1"/>
  <c r="AC22" i="11"/>
  <c r="AM22" i="11" s="1"/>
  <c r="AC23" i="11"/>
  <c r="AM23" i="11" s="1"/>
  <c r="AC24" i="11"/>
  <c r="AM24" i="11" s="1"/>
  <c r="AC25" i="11"/>
  <c r="AM25" i="11" s="1"/>
  <c r="AC26" i="11"/>
  <c r="AM26" i="11" s="1"/>
  <c r="AC27" i="11"/>
  <c r="AM27" i="11" s="1"/>
  <c r="AC28" i="11"/>
  <c r="AM28" i="11" s="1"/>
  <c r="AC29" i="11"/>
  <c r="AM29" i="11" s="1"/>
  <c r="AC30" i="11"/>
  <c r="AC31" i="11"/>
  <c r="AC32" i="11"/>
  <c r="AM32" i="11" s="1"/>
  <c r="AC33" i="11"/>
  <c r="AM33" i="11" s="1"/>
  <c r="AC34" i="11"/>
  <c r="AM34" i="11" s="1"/>
  <c r="AC35" i="11"/>
  <c r="AM35" i="11" s="1"/>
  <c r="AC36" i="11"/>
  <c r="AM36" i="11" s="1"/>
  <c r="AC37" i="11"/>
  <c r="AM37" i="11" s="1"/>
  <c r="AC38" i="11"/>
  <c r="AM38" i="11" s="1"/>
  <c r="AC39" i="11"/>
  <c r="AM39" i="11" s="1"/>
  <c r="AC40" i="11"/>
  <c r="AM40" i="11" s="1"/>
  <c r="AC41" i="11"/>
  <c r="AM41" i="11" s="1"/>
  <c r="AC42" i="11"/>
  <c r="AM42" i="11" s="1"/>
  <c r="AC43" i="11"/>
  <c r="AM43" i="11" s="1"/>
  <c r="AC44" i="11"/>
  <c r="AM44" i="11" s="1"/>
  <c r="AC45" i="11"/>
  <c r="AM45" i="11" s="1"/>
  <c r="AC46" i="11"/>
  <c r="AM46" i="11" s="1"/>
  <c r="AC47" i="11"/>
  <c r="AC48" i="11"/>
  <c r="AM48" i="11" s="1"/>
  <c r="AC49" i="11"/>
  <c r="AM49" i="11" s="1"/>
  <c r="AC50" i="11"/>
  <c r="AM50" i="11" s="1"/>
  <c r="AC51" i="11"/>
  <c r="AM51" i="11" s="1"/>
  <c r="AC52" i="11"/>
  <c r="AM52" i="11" s="1"/>
  <c r="AC53" i="11"/>
  <c r="AC54" i="11"/>
  <c r="AM54" i="11" s="1"/>
  <c r="AC55" i="11"/>
  <c r="AC56" i="11"/>
  <c r="AM56" i="11" s="1"/>
  <c r="AC57" i="11"/>
  <c r="AM57" i="11" s="1"/>
  <c r="AC58" i="11"/>
  <c r="AM58" i="11" s="1"/>
  <c r="AC59" i="11"/>
  <c r="AM59" i="11" s="1"/>
  <c r="AC60" i="11"/>
  <c r="AM60" i="11" s="1"/>
  <c r="AC61" i="11"/>
  <c r="AM61" i="11" s="1"/>
  <c r="AC62" i="11"/>
  <c r="AM62" i="11" s="1"/>
  <c r="AC63" i="11"/>
  <c r="AM63" i="11" s="1"/>
  <c r="AC64" i="11"/>
  <c r="AM64" i="11" s="1"/>
  <c r="AC65" i="11"/>
  <c r="AM65" i="11" s="1"/>
  <c r="AC66" i="11"/>
  <c r="AM66" i="11" s="1"/>
  <c r="AC67" i="11"/>
  <c r="AM67" i="11" s="1"/>
  <c r="AC68" i="11"/>
  <c r="AM68" i="11" s="1"/>
  <c r="AC69" i="11"/>
  <c r="AM69" i="11" s="1"/>
  <c r="AC70" i="11"/>
  <c r="AC71" i="11"/>
  <c r="AC72" i="11"/>
  <c r="AM72" i="11" s="1"/>
  <c r="AC73" i="11"/>
  <c r="AM73" i="11" s="1"/>
  <c r="AC74" i="11"/>
  <c r="AM74" i="11" s="1"/>
  <c r="AC75" i="11"/>
  <c r="AM75" i="11" s="1"/>
  <c r="AC76" i="11"/>
  <c r="AM76" i="11" s="1"/>
  <c r="AC77" i="11"/>
  <c r="AM77" i="11" s="1"/>
  <c r="AC78" i="11"/>
  <c r="AM78" i="11" s="1"/>
  <c r="AC79" i="11"/>
  <c r="AC80" i="11"/>
  <c r="AM80" i="11" s="1"/>
  <c r="AC81" i="11"/>
  <c r="AM81" i="11" s="1"/>
  <c r="AC82" i="11"/>
  <c r="AM82" i="11" s="1"/>
  <c r="AC83" i="11"/>
  <c r="AM83" i="11" s="1"/>
  <c r="AC84" i="11"/>
  <c r="AM84" i="11" s="1"/>
  <c r="AC85" i="11"/>
  <c r="AM85" i="11" s="1"/>
  <c r="AC86" i="11"/>
  <c r="AM86" i="11" s="1"/>
  <c r="AC87" i="11"/>
  <c r="AM87" i="11" s="1"/>
  <c r="AC88" i="11"/>
  <c r="AM88" i="11" s="1"/>
  <c r="AC89" i="11"/>
  <c r="AM89" i="11" s="1"/>
  <c r="AC90" i="11"/>
  <c r="AM90" i="11" s="1"/>
  <c r="AC91" i="11"/>
  <c r="AM91" i="11" s="1"/>
  <c r="AC92" i="11"/>
  <c r="AM92" i="11" s="1"/>
  <c r="AC93" i="11"/>
  <c r="AM93" i="11" s="1"/>
  <c r="AC94" i="11"/>
  <c r="AC95" i="11"/>
  <c r="AC96" i="11"/>
  <c r="AM96" i="11" s="1"/>
  <c r="AC97" i="11"/>
  <c r="AM97" i="11" s="1"/>
  <c r="AC98" i="11"/>
  <c r="AM98" i="11" s="1"/>
  <c r="AC99" i="11"/>
  <c r="AM99" i="11" s="1"/>
  <c r="AC100" i="11"/>
  <c r="AM100" i="11" s="1"/>
  <c r="AC101" i="11"/>
  <c r="AM101" i="11" s="1"/>
  <c r="AC102" i="11"/>
  <c r="AM102" i="11" s="1"/>
  <c r="AC103" i="11"/>
  <c r="AM103" i="11" s="1"/>
  <c r="AC104" i="11"/>
  <c r="AM104" i="11" s="1"/>
  <c r="AC105" i="11"/>
  <c r="AM105" i="11" s="1"/>
  <c r="AC106" i="11"/>
  <c r="AM106" i="11" s="1"/>
  <c r="AC107" i="11"/>
  <c r="AM107" i="11" s="1"/>
  <c r="AC108" i="11"/>
  <c r="AM108" i="11" s="1"/>
  <c r="AC109" i="11"/>
  <c r="AM109" i="11" s="1"/>
  <c r="AC110" i="11"/>
  <c r="AC111" i="11"/>
  <c r="AC112" i="11"/>
  <c r="AM112" i="11" s="1"/>
  <c r="AC113" i="11"/>
  <c r="AM113" i="11" s="1"/>
  <c r="AC114" i="11"/>
  <c r="AM114" i="11" s="1"/>
  <c r="AC115" i="11"/>
  <c r="AM115" i="11" s="1"/>
  <c r="AC116" i="11"/>
  <c r="AM116" i="11" s="1"/>
  <c r="AC117" i="11"/>
  <c r="AM117" i="11" s="1"/>
  <c r="AC118" i="11"/>
  <c r="AC119" i="11"/>
  <c r="AC120" i="11"/>
  <c r="AM120" i="11" s="1"/>
  <c r="AC121" i="11"/>
  <c r="AM121" i="11" s="1"/>
  <c r="AC122" i="11"/>
  <c r="AM122" i="11" s="1"/>
  <c r="AC123" i="11"/>
  <c r="AM123" i="11" s="1"/>
  <c r="AC124" i="11"/>
  <c r="AM124" i="11" s="1"/>
  <c r="AC125" i="11"/>
  <c r="AM125" i="11" s="1"/>
  <c r="AC126" i="11"/>
  <c r="AM126" i="11" s="1"/>
  <c r="AC127" i="11"/>
  <c r="AM127" i="11" s="1"/>
  <c r="AC128" i="11"/>
  <c r="AM128" i="11" s="1"/>
  <c r="AC129" i="11"/>
  <c r="AM129" i="11" s="1"/>
  <c r="AC130" i="11"/>
  <c r="AM130" i="11" s="1"/>
  <c r="AC131" i="11"/>
  <c r="AM131" i="11" s="1"/>
  <c r="AC132" i="11"/>
  <c r="AM132" i="11" s="1"/>
  <c r="AC133" i="11"/>
  <c r="AM133" i="11" s="1"/>
  <c r="AC134" i="11"/>
  <c r="AM134" i="11" s="1"/>
  <c r="AC135" i="11"/>
  <c r="AC136" i="11"/>
  <c r="AM136" i="11" s="1"/>
  <c r="AC137" i="11"/>
  <c r="AM137" i="11" s="1"/>
  <c r="AC138" i="11"/>
  <c r="AM138" i="11" s="1"/>
  <c r="AC139" i="11"/>
  <c r="AM139" i="11" s="1"/>
  <c r="AC140" i="11"/>
  <c r="AM140" i="11" s="1"/>
  <c r="AC141" i="11"/>
  <c r="AM141" i="11" s="1"/>
  <c r="AC142" i="11"/>
  <c r="AC143" i="11"/>
  <c r="AC144" i="11"/>
  <c r="AM144" i="11" s="1"/>
  <c r="AC145" i="11"/>
  <c r="AM145" i="11" s="1"/>
  <c r="AC146" i="11"/>
  <c r="AM146" i="11" s="1"/>
  <c r="AC147" i="11"/>
  <c r="AM147" i="11" s="1"/>
  <c r="AC148" i="11"/>
  <c r="AM148" i="11" s="1"/>
  <c r="AC149" i="11"/>
  <c r="AM149" i="11" s="1"/>
  <c r="AC150" i="11"/>
  <c r="AC151" i="11"/>
  <c r="AM151" i="11" s="1"/>
  <c r="AC152" i="11"/>
  <c r="AM152" i="11" s="1"/>
  <c r="AC153" i="11"/>
  <c r="AM153" i="11" s="1"/>
  <c r="AC154" i="11"/>
  <c r="AM154" i="11" s="1"/>
  <c r="AC155" i="11"/>
  <c r="AM155" i="11" s="1"/>
  <c r="AC156" i="11"/>
  <c r="AM156" i="11" s="1"/>
  <c r="AC2" i="11"/>
  <c r="AM2" i="11" s="1"/>
  <c r="AM6" i="11"/>
  <c r="AM7" i="11"/>
  <c r="AM14" i="11"/>
  <c r="AM15" i="11"/>
  <c r="AM30" i="11"/>
  <c r="AM31" i="11"/>
  <c r="AM47" i="11"/>
  <c r="AM53" i="11"/>
  <c r="AM55" i="11"/>
  <c r="AM70" i="11"/>
  <c r="AM71" i="11"/>
  <c r="AM79" i="11"/>
  <c r="AM94" i="11"/>
  <c r="AM95" i="11"/>
  <c r="AM110" i="11"/>
  <c r="AM111" i="11"/>
  <c r="AM118" i="11"/>
  <c r="AM119" i="11"/>
  <c r="AM135" i="11"/>
  <c r="AM142" i="11"/>
  <c r="AM143" i="11"/>
  <c r="AM150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5" i="11"/>
  <c r="Y36" i="11"/>
  <c r="Y37" i="11"/>
  <c r="Y38" i="11"/>
  <c r="Y39" i="11"/>
  <c r="Y40" i="11"/>
  <c r="Y41" i="11"/>
  <c r="Y42" i="11"/>
  <c r="Y43" i="11"/>
  <c r="Y44" i="11"/>
  <c r="Y45" i="11"/>
  <c r="Y46" i="11"/>
  <c r="Y47" i="11"/>
  <c r="Y48" i="11"/>
  <c r="Y49" i="11"/>
  <c r="Y50" i="11"/>
  <c r="Y51" i="11"/>
  <c r="Y52" i="11"/>
  <c r="Y53" i="11"/>
  <c r="Y54" i="11"/>
  <c r="Y55" i="11"/>
  <c r="Y56" i="11"/>
  <c r="Y57" i="11"/>
  <c r="Y58" i="11"/>
  <c r="Y59" i="11"/>
  <c r="Y60" i="11"/>
  <c r="Y61" i="11"/>
  <c r="Y62" i="11"/>
  <c r="Y63" i="11"/>
  <c r="Y64" i="11"/>
  <c r="Y65" i="11"/>
  <c r="Y66" i="11"/>
  <c r="Y67" i="11"/>
  <c r="Y68" i="11"/>
  <c r="Y69" i="11"/>
  <c r="Y70" i="11"/>
  <c r="Y71" i="11"/>
  <c r="Y72" i="11"/>
  <c r="Y73" i="11"/>
  <c r="Y74" i="11"/>
  <c r="Y75" i="11"/>
  <c r="Y76" i="11"/>
  <c r="Y77" i="11"/>
  <c r="Y78" i="11"/>
  <c r="Y79" i="11"/>
  <c r="Y80" i="11"/>
  <c r="Y81" i="11"/>
  <c r="Y82" i="11"/>
  <c r="Y83" i="11"/>
  <c r="Y84" i="11"/>
  <c r="Y85" i="11"/>
  <c r="Y86" i="11"/>
  <c r="Y87" i="11"/>
  <c r="Y88" i="11"/>
  <c r="Y89" i="11"/>
  <c r="Y90" i="11"/>
  <c r="Y91" i="11"/>
  <c r="Y92" i="11"/>
  <c r="Y93" i="11"/>
  <c r="Y94" i="11"/>
  <c r="Y95" i="11"/>
  <c r="Y96" i="11"/>
  <c r="Y97" i="11"/>
  <c r="Y98" i="11"/>
  <c r="Y99" i="11"/>
  <c r="Y100" i="11"/>
  <c r="Y101" i="11"/>
  <c r="Y102" i="11"/>
  <c r="Y103" i="11"/>
  <c r="Y104" i="11"/>
  <c r="Y105" i="11"/>
  <c r="Y106" i="11"/>
  <c r="Y107" i="11"/>
  <c r="Y108" i="11"/>
  <c r="Y109" i="11"/>
  <c r="Y110" i="11"/>
  <c r="Y111" i="11"/>
  <c r="Y112" i="11"/>
  <c r="Y113" i="11"/>
  <c r="Y114" i="11"/>
  <c r="Y115" i="11"/>
  <c r="Y116" i="11"/>
  <c r="Y117" i="11"/>
  <c r="Y118" i="11"/>
  <c r="Y119" i="11"/>
  <c r="Y120" i="11"/>
  <c r="Y121" i="11"/>
  <c r="Y122" i="11"/>
  <c r="Y123" i="11"/>
  <c r="Y124" i="11"/>
  <c r="Y125" i="11"/>
  <c r="Y126" i="11"/>
  <c r="Y127" i="11"/>
  <c r="Y128" i="11"/>
  <c r="Y129" i="11"/>
  <c r="Y130" i="11"/>
  <c r="Y131" i="11"/>
  <c r="Y132" i="11"/>
  <c r="Y133" i="11"/>
  <c r="Y134" i="11"/>
  <c r="Y135" i="11"/>
  <c r="Y136" i="11"/>
  <c r="Y137" i="11"/>
  <c r="Y138" i="11"/>
  <c r="Y139" i="11"/>
  <c r="Y140" i="11"/>
  <c r="Y141" i="11"/>
  <c r="Y142" i="11"/>
  <c r="Y143" i="11"/>
  <c r="Y144" i="11"/>
  <c r="Y145" i="11"/>
  <c r="Y146" i="11"/>
  <c r="Y147" i="11"/>
  <c r="Y148" i="11"/>
  <c r="Y149" i="11"/>
  <c r="Y150" i="11"/>
  <c r="Y151" i="11"/>
  <c r="Y152" i="11"/>
  <c r="Y153" i="11"/>
  <c r="Y154" i="11"/>
  <c r="Y155" i="11"/>
  <c r="Y156" i="11"/>
  <c r="Y2" i="11"/>
  <c r="Z2" i="11" s="1"/>
  <c r="AL2" i="11" s="1"/>
  <c r="AB2" i="11"/>
  <c r="Y2" i="18"/>
  <c r="Z2" i="18" s="1"/>
  <c r="Y95" i="18"/>
  <c r="Z95" i="18" s="1"/>
  <c r="Y4" i="18"/>
  <c r="Z4" i="18" s="1"/>
  <c r="Y96" i="18"/>
  <c r="Z96" i="18" s="1"/>
  <c r="Y97" i="18"/>
  <c r="Z97" i="18" s="1"/>
  <c r="Y109" i="18"/>
  <c r="Z109" i="18" s="1"/>
  <c r="Y110" i="18"/>
  <c r="Z110" i="18" s="1"/>
  <c r="Y112" i="18"/>
  <c r="Z112" i="18" s="1"/>
  <c r="Y113" i="18"/>
  <c r="Z113" i="18" s="1"/>
  <c r="Y111" i="18"/>
  <c r="Z111" i="18" s="1"/>
  <c r="Y114" i="18"/>
  <c r="Z114" i="18" s="1"/>
  <c r="Y193" i="18"/>
  <c r="Z193" i="18" s="1"/>
  <c r="Y194" i="18"/>
  <c r="Z194" i="18" s="1"/>
  <c r="Y116" i="18"/>
  <c r="Z116" i="18" s="1"/>
  <c r="Y123" i="18"/>
  <c r="Z123" i="18" s="1"/>
  <c r="Y124" i="18"/>
  <c r="Z124" i="18" s="1"/>
  <c r="Y122" i="18"/>
  <c r="Z122" i="18" s="1"/>
  <c r="Y125" i="18"/>
  <c r="Z125" i="18" s="1"/>
  <c r="Y128" i="18"/>
  <c r="Z128" i="18" s="1"/>
  <c r="Y127" i="18"/>
  <c r="Z127" i="18" s="1"/>
  <c r="Y129" i="18"/>
  <c r="Z129" i="18" s="1"/>
  <c r="Y130" i="18"/>
  <c r="Z130" i="18" s="1"/>
  <c r="Y136" i="18"/>
  <c r="Z136" i="18" s="1"/>
  <c r="Y131" i="18"/>
  <c r="Z131" i="18" s="1"/>
  <c r="Y140" i="18"/>
  <c r="Z140" i="18" s="1"/>
  <c r="Y142" i="18"/>
  <c r="Z142" i="18" s="1"/>
  <c r="Y141" i="18"/>
  <c r="Z141" i="18" s="1"/>
  <c r="Y143" i="18"/>
  <c r="Z143" i="18" s="1"/>
  <c r="Y144" i="18"/>
  <c r="Z144" i="18" s="1"/>
  <c r="Y145" i="18"/>
  <c r="Z145" i="18" s="1"/>
  <c r="Y147" i="18"/>
  <c r="Z147" i="18" s="1"/>
  <c r="Y146" i="18"/>
  <c r="Z146" i="18" s="1"/>
  <c r="Y149" i="18"/>
  <c r="Z149" i="18" s="1"/>
  <c r="Y152" i="18"/>
  <c r="Z152" i="18" s="1"/>
  <c r="Y154" i="18"/>
  <c r="Z154" i="18" s="1"/>
  <c r="Y153" i="18"/>
  <c r="Z153" i="18" s="1"/>
  <c r="Y156" i="18"/>
  <c r="Z156" i="18" s="1"/>
  <c r="Y158" i="18"/>
  <c r="Z158" i="18" s="1"/>
  <c r="Y161" i="18"/>
  <c r="Z161" i="18" s="1"/>
  <c r="Y162" i="18"/>
  <c r="Z162" i="18" s="1"/>
  <c r="Y164" i="18"/>
  <c r="Z164" i="18" s="1"/>
  <c r="Y165" i="18"/>
  <c r="Z165" i="18" s="1"/>
  <c r="Y167" i="18"/>
  <c r="Z167" i="18" s="1"/>
  <c r="Y148" i="18"/>
  <c r="Z148" i="18" s="1"/>
  <c r="Y150" i="18"/>
  <c r="Z150" i="18" s="1"/>
  <c r="Y151" i="18"/>
  <c r="Z151" i="18" s="1"/>
  <c r="Y186" i="18"/>
  <c r="Z186" i="18" s="1"/>
  <c r="Y188" i="18"/>
  <c r="Z188" i="18" s="1"/>
  <c r="Y192" i="18"/>
  <c r="Z192" i="18" s="1"/>
  <c r="Y190" i="18"/>
  <c r="Z190" i="18" s="1"/>
  <c r="Y197" i="18"/>
  <c r="Z197" i="18" s="1"/>
  <c r="Y166" i="18"/>
  <c r="Z166" i="18" s="1"/>
  <c r="Y182" i="18"/>
  <c r="Z182" i="18" s="1"/>
  <c r="Y181" i="18"/>
  <c r="Z181" i="18" s="1"/>
  <c r="Y180" i="18"/>
  <c r="Z180" i="18" s="1"/>
  <c r="Y185" i="18"/>
  <c r="Z185" i="18" s="1"/>
  <c r="Y169" i="18"/>
  <c r="Z169" i="18" s="1"/>
  <c r="Y172" i="18"/>
  <c r="Z172" i="18" s="1"/>
  <c r="Y171" i="18"/>
  <c r="Z171" i="18" s="1"/>
  <c r="Y174" i="18"/>
  <c r="Z174" i="18" s="1"/>
  <c r="Y175" i="18"/>
  <c r="Z175" i="18" s="1"/>
  <c r="Y179" i="18"/>
  <c r="Z179" i="18" s="1"/>
  <c r="Y177" i="18"/>
  <c r="Z177" i="18" s="1"/>
  <c r="Y115" i="18"/>
  <c r="Z115" i="18" s="1"/>
  <c r="Y139" i="18"/>
  <c r="Z139" i="18" s="1"/>
  <c r="Y168" i="18"/>
  <c r="Z168" i="18" s="1"/>
  <c r="Y118" i="18"/>
  <c r="Z118" i="18" s="1"/>
  <c r="Y196" i="18"/>
  <c r="Z196" i="18" s="1"/>
  <c r="Y163" i="18"/>
  <c r="Z163" i="18" s="1"/>
  <c r="Y117" i="18"/>
  <c r="Z117" i="18" s="1"/>
  <c r="Y157" i="18"/>
  <c r="Z157" i="18" s="1"/>
  <c r="Y159" i="18"/>
  <c r="Z159" i="18" s="1"/>
  <c r="Y160" i="18"/>
  <c r="Z160" i="18" s="1"/>
  <c r="Y195" i="18"/>
  <c r="Z195" i="18" s="1"/>
  <c r="Y198" i="18"/>
  <c r="Z198" i="18" s="1"/>
  <c r="Y202" i="18"/>
  <c r="Z202" i="18" s="1"/>
  <c r="Y200" i="18"/>
  <c r="Z200" i="18" s="1"/>
  <c r="Y203" i="18"/>
  <c r="Z203" i="18" s="1"/>
  <c r="Y204" i="18"/>
  <c r="Z204" i="18" s="1"/>
  <c r="Y207" i="18"/>
  <c r="Z207" i="18" s="1"/>
  <c r="Y205" i="18"/>
  <c r="Z205" i="18" s="1"/>
  <c r="Y229" i="18"/>
  <c r="Z229" i="18" s="1"/>
  <c r="Y187" i="18"/>
  <c r="Z187" i="18" s="1"/>
  <c r="Y184" i="18"/>
  <c r="Z184" i="18" s="1"/>
  <c r="Y206" i="18"/>
  <c r="Z206" i="18" s="1"/>
  <c r="Y216" i="18"/>
  <c r="Z216" i="18" s="1"/>
  <c r="Y220" i="18"/>
  <c r="Z220" i="18" s="1"/>
  <c r="Y230" i="18"/>
  <c r="Z230" i="18" s="1"/>
  <c r="Y232" i="18"/>
  <c r="Z232" i="18" s="1"/>
  <c r="Y231" i="18"/>
  <c r="Z231" i="18" s="1"/>
  <c r="Y234" i="18"/>
  <c r="Z234" i="18" s="1"/>
  <c r="Y236" i="18"/>
  <c r="Z236" i="18" s="1"/>
  <c r="Y238" i="18"/>
  <c r="Z238" i="18" s="1"/>
  <c r="Y237" i="18"/>
  <c r="Z237" i="18" s="1"/>
  <c r="Y240" i="18"/>
  <c r="Z240" i="18" s="1"/>
  <c r="Y241" i="18"/>
  <c r="Z241" i="18" s="1"/>
  <c r="Y246" i="18"/>
  <c r="Z246" i="18" s="1"/>
  <c r="Y249" i="18"/>
  <c r="Z249" i="18" s="1"/>
  <c r="Y247" i="18"/>
  <c r="Z247" i="18" s="1"/>
  <c r="Y170" i="18"/>
  <c r="Z170" i="18" s="1"/>
  <c r="Y173" i="18"/>
  <c r="Z173" i="18" s="1"/>
  <c r="Y178" i="18"/>
  <c r="Z178" i="18" s="1"/>
  <c r="Y183" i="18"/>
  <c r="Z183" i="18" s="1"/>
  <c r="Y218" i="18"/>
  <c r="Z218" i="18" s="1"/>
  <c r="Y223" i="18"/>
  <c r="Z223" i="18" s="1"/>
  <c r="Y225" i="18"/>
  <c r="Z225" i="18" s="1"/>
  <c r="Y228" i="18"/>
  <c r="Z228" i="18" s="1"/>
  <c r="Y235" i="18"/>
  <c r="Z235" i="18" s="1"/>
  <c r="Y233" i="18"/>
  <c r="Z233" i="18" s="1"/>
  <c r="Y239" i="18"/>
  <c r="Z239" i="18" s="1"/>
  <c r="Y244" i="18"/>
  <c r="Z244" i="18" s="1"/>
  <c r="Y248" i="18"/>
  <c r="Z248" i="18" s="1"/>
  <c r="Y79" i="18"/>
  <c r="Z79" i="18" s="1"/>
  <c r="Y81" i="18"/>
  <c r="Z81" i="18" s="1"/>
  <c r="Y80" i="18"/>
  <c r="Z80" i="18" s="1"/>
  <c r="Y82" i="18"/>
  <c r="Z82" i="18" s="1"/>
  <c r="Y85" i="18"/>
  <c r="Z85" i="18" s="1"/>
  <c r="Y84" i="18"/>
  <c r="Z84" i="18" s="1"/>
  <c r="Y86" i="18"/>
  <c r="Z86" i="18" s="1"/>
  <c r="Y87" i="18"/>
  <c r="Z87" i="18" s="1"/>
  <c r="Y89" i="18"/>
  <c r="Z89" i="18" s="1"/>
  <c r="Y88" i="18"/>
  <c r="Z88" i="18" s="1"/>
  <c r="Y90" i="18"/>
  <c r="Z90" i="18" s="1"/>
  <c r="Y91" i="18"/>
  <c r="Z91" i="18" s="1"/>
  <c r="Y93" i="18"/>
  <c r="Z93" i="18" s="1"/>
  <c r="Y92" i="18"/>
  <c r="Z92" i="18" s="1"/>
  <c r="Y94" i="18"/>
  <c r="Z94" i="18" s="1"/>
  <c r="Y217" i="18"/>
  <c r="Z217" i="18" s="1"/>
  <c r="Y221" i="18"/>
  <c r="Z221" i="18" s="1"/>
  <c r="Y222" i="18"/>
  <c r="Z222" i="18" s="1"/>
  <c r="Y209" i="18"/>
  <c r="Z209" i="18" s="1"/>
  <c r="Y210" i="18"/>
  <c r="Z210" i="18" s="1"/>
  <c r="Y213" i="18"/>
  <c r="Z213" i="18" s="1"/>
  <c r="Y212" i="18"/>
  <c r="Z212" i="18" s="1"/>
  <c r="Y215" i="18"/>
  <c r="Z215" i="18" s="1"/>
  <c r="Y224" i="18"/>
  <c r="Z224" i="18" s="1"/>
  <c r="Y227" i="18"/>
  <c r="Z227" i="18" s="1"/>
  <c r="Y226" i="18"/>
  <c r="Z226" i="18" s="1"/>
  <c r="Y243" i="18"/>
  <c r="Z243" i="18" s="1"/>
  <c r="Y242" i="18"/>
  <c r="Z242" i="18" s="1"/>
  <c r="Y219" i="18"/>
  <c r="Z219" i="18" s="1"/>
  <c r="Y83" i="18"/>
  <c r="Z83" i="18" s="1"/>
  <c r="Y245" i="18"/>
  <c r="Z245" i="18" s="1"/>
  <c r="Y176" i="18"/>
  <c r="Z176" i="18" s="1"/>
  <c r="Y189" i="18"/>
  <c r="Z189" i="18" s="1"/>
  <c r="Y191" i="18"/>
  <c r="Z191" i="18" s="1"/>
  <c r="Y201" i="18"/>
  <c r="Z201" i="18" s="1"/>
  <c r="Y199" i="18"/>
  <c r="Z199" i="18" s="1"/>
  <c r="Y208" i="18"/>
  <c r="Z208" i="18" s="1"/>
  <c r="Y214" i="18"/>
  <c r="Z214" i="18" s="1"/>
  <c r="Y211" i="18"/>
  <c r="Z211" i="18" s="1"/>
  <c r="Y98" i="18"/>
  <c r="Z98" i="18" s="1"/>
  <c r="Y132" i="18"/>
  <c r="Z132" i="18" s="1"/>
  <c r="Y133" i="18"/>
  <c r="Z133" i="18" s="1"/>
  <c r="Y135" i="18"/>
  <c r="Z135" i="18" s="1"/>
  <c r="Y138" i="18"/>
  <c r="Z138" i="18" s="1"/>
  <c r="Y19" i="18"/>
  <c r="Z19" i="18" s="1"/>
  <c r="Y155" i="18"/>
  <c r="Z155" i="18" s="1"/>
  <c r="Y72" i="18"/>
  <c r="Z72" i="18" s="1"/>
  <c r="Y18" i="18"/>
  <c r="Z18" i="18" s="1"/>
  <c r="Y17" i="18"/>
  <c r="Z17" i="18" s="1"/>
  <c r="Y48" i="18"/>
  <c r="Z48" i="18" s="1"/>
  <c r="Y51" i="18"/>
  <c r="Z51" i="18" s="1"/>
  <c r="Y60" i="18"/>
  <c r="Z60" i="18" s="1"/>
  <c r="Y26" i="18"/>
  <c r="Z26" i="18" s="1"/>
  <c r="Y59" i="18"/>
  <c r="Z59" i="18" s="1"/>
  <c r="Y33" i="18"/>
  <c r="Z33" i="18" s="1"/>
  <c r="Y35" i="18"/>
  <c r="Z35" i="18" s="1"/>
  <c r="Y37" i="18"/>
  <c r="Z37" i="18" s="1"/>
  <c r="Y39" i="18"/>
  <c r="Z39" i="18" s="1"/>
  <c r="Y41" i="18"/>
  <c r="Z41" i="18" s="1"/>
  <c r="Y43" i="18"/>
  <c r="Z43" i="18" s="1"/>
  <c r="Y46" i="18"/>
  <c r="Z46" i="18" s="1"/>
  <c r="Y23" i="18"/>
  <c r="Z23" i="18" s="1"/>
  <c r="Y25" i="18"/>
  <c r="Z25" i="18" s="1"/>
  <c r="Y29" i="18"/>
  <c r="Z29" i="18" s="1"/>
  <c r="Y52" i="18"/>
  <c r="Z52" i="18" s="1"/>
  <c r="Y31" i="18"/>
  <c r="Z31" i="18" s="1"/>
  <c r="Y32" i="18"/>
  <c r="Z32" i="18" s="1"/>
  <c r="Y56" i="18"/>
  <c r="Z56" i="18" s="1"/>
  <c r="Y58" i="18"/>
  <c r="Z58" i="18" s="1"/>
  <c r="Y22" i="18"/>
  <c r="Z22" i="18" s="1"/>
  <c r="Y57" i="18"/>
  <c r="Z57" i="18" s="1"/>
  <c r="Y64" i="18"/>
  <c r="Z64" i="18" s="1"/>
  <c r="Y65" i="18"/>
  <c r="Z65" i="18" s="1"/>
  <c r="Y66" i="18"/>
  <c r="Z66" i="18" s="1"/>
  <c r="Y68" i="18"/>
  <c r="Z68" i="18" s="1"/>
  <c r="Y75" i="18"/>
  <c r="Z75" i="18" s="1"/>
  <c r="Y5" i="18"/>
  <c r="Z5" i="18" s="1"/>
  <c r="Y6" i="18"/>
  <c r="Z6" i="18" s="1"/>
  <c r="Y12" i="18"/>
  <c r="Z12" i="18" s="1"/>
  <c r="Y15" i="18"/>
  <c r="Z15" i="18" s="1"/>
  <c r="Y44" i="18"/>
  <c r="Z44" i="18" s="1"/>
  <c r="Y47" i="18"/>
  <c r="Z47" i="18" s="1"/>
  <c r="Y70" i="18"/>
  <c r="Z70" i="18" s="1"/>
  <c r="Y107" i="18"/>
  <c r="Z107" i="18" s="1"/>
  <c r="Y108" i="18"/>
  <c r="Z108" i="18" s="1"/>
  <c r="Y120" i="18"/>
  <c r="Z120" i="18" s="1"/>
  <c r="Y121" i="18"/>
  <c r="Z121" i="18" s="1"/>
  <c r="Y101" i="18"/>
  <c r="Z101" i="18" s="1"/>
  <c r="Y102" i="18"/>
  <c r="Z102" i="18" s="1"/>
  <c r="Y106" i="18"/>
  <c r="Z106" i="18" s="1"/>
  <c r="Y105" i="18"/>
  <c r="Z105" i="18" s="1"/>
  <c r="Y9" i="18"/>
  <c r="Z9" i="18" s="1"/>
  <c r="Y45" i="18"/>
  <c r="Z45" i="18" s="1"/>
  <c r="Y54" i="18"/>
  <c r="Z54" i="18" s="1"/>
  <c r="Y74" i="18"/>
  <c r="Z74" i="18" s="1"/>
  <c r="Y11" i="18"/>
  <c r="Z11" i="18" s="1"/>
  <c r="Y73" i="18"/>
  <c r="Z73" i="18" s="1"/>
  <c r="Y76" i="18"/>
  <c r="Z76" i="18" s="1"/>
  <c r="Y78" i="18"/>
  <c r="Z78" i="18" s="1"/>
  <c r="Y28" i="18"/>
  <c r="Z28" i="18" s="1"/>
  <c r="Y100" i="18"/>
  <c r="Z100" i="18" s="1"/>
  <c r="Y27" i="18"/>
  <c r="Z27" i="18" s="1"/>
  <c r="Y34" i="18"/>
  <c r="Z34" i="18" s="1"/>
  <c r="Y38" i="18"/>
  <c r="Z38" i="18" s="1"/>
  <c r="Y61" i="18"/>
  <c r="Z61" i="18" s="1"/>
  <c r="Y67" i="18"/>
  <c r="Z67" i="18" s="1"/>
  <c r="Y14" i="18"/>
  <c r="Z14" i="18" s="1"/>
  <c r="Y8" i="18"/>
  <c r="Z8" i="18" s="1"/>
  <c r="Y24" i="18"/>
  <c r="Z24" i="18" s="1"/>
  <c r="Y21" i="18"/>
  <c r="Z21" i="18" s="1"/>
  <c r="Y77" i="18"/>
  <c r="Z77" i="18" s="1"/>
  <c r="Y30" i="18"/>
  <c r="Z30" i="18" s="1"/>
  <c r="Y36" i="18"/>
  <c r="Z36" i="18" s="1"/>
  <c r="Y40" i="18"/>
  <c r="Z40" i="18" s="1"/>
  <c r="Y42" i="18"/>
  <c r="Z42" i="18" s="1"/>
  <c r="Y50" i="18"/>
  <c r="Z50" i="18" s="1"/>
  <c r="Y99" i="18"/>
  <c r="Z99" i="18" s="1"/>
  <c r="Y104" i="18"/>
  <c r="Z104" i="18" s="1"/>
  <c r="Y103" i="18"/>
  <c r="Z103" i="18" s="1"/>
  <c r="Y119" i="18"/>
  <c r="Z119" i="18" s="1"/>
  <c r="Y126" i="18"/>
  <c r="Z126" i="18" s="1"/>
  <c r="Y134" i="18"/>
  <c r="Z134" i="18" s="1"/>
  <c r="Y13" i="18"/>
  <c r="Z13" i="18" s="1"/>
  <c r="Y137" i="18"/>
  <c r="Z137" i="18" s="1"/>
  <c r="Y71" i="18"/>
  <c r="Z71" i="18" s="1"/>
  <c r="Y20" i="18"/>
  <c r="Z20" i="18" s="1"/>
  <c r="Y53" i="18"/>
  <c r="Z53" i="18" s="1"/>
  <c r="Y55" i="18"/>
  <c r="Z55" i="18" s="1"/>
  <c r="Y62" i="18"/>
  <c r="Z62" i="18" s="1"/>
  <c r="Y63" i="18"/>
  <c r="Z63" i="18" s="1"/>
  <c r="Y69" i="18"/>
  <c r="Z69" i="18" s="1"/>
  <c r="Y7" i="18"/>
  <c r="Z7" i="18" s="1"/>
  <c r="Y16" i="18"/>
  <c r="Z16" i="18" s="1"/>
  <c r="Y49" i="18"/>
  <c r="Z49" i="18" s="1"/>
  <c r="Y10" i="18"/>
  <c r="Z10" i="18" s="1"/>
  <c r="Y3" i="18"/>
  <c r="Z3" i="18" s="1"/>
  <c r="H9" i="12"/>
  <c r="C3" i="8" l="1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J2" i="8" l="1"/>
  <c r="Z154" i="11" l="1"/>
  <c r="AB154" i="11"/>
  <c r="AB137" i="18"/>
  <c r="AB88" i="18"/>
  <c r="AB213" i="18"/>
  <c r="AB17" i="18"/>
  <c r="AB57" i="18"/>
  <c r="AB24" i="18"/>
  <c r="AL154" i="11" l="1"/>
  <c r="Z118" i="11" l="1"/>
  <c r="AB118" i="11"/>
  <c r="Z128" i="11"/>
  <c r="AB128" i="11"/>
  <c r="Z130" i="11"/>
  <c r="AB130" i="11"/>
  <c r="Z133" i="11"/>
  <c r="AB133" i="11"/>
  <c r="Z137" i="11"/>
  <c r="AB137" i="11"/>
  <c r="Z140" i="11"/>
  <c r="AB140" i="11"/>
  <c r="Z143" i="11"/>
  <c r="AB143" i="11"/>
  <c r="Z145" i="11"/>
  <c r="AB145" i="11"/>
  <c r="Z147" i="11"/>
  <c r="AB147" i="11"/>
  <c r="Z152" i="11"/>
  <c r="AB152" i="11"/>
  <c r="AB52" i="18"/>
  <c r="AB55" i="18"/>
  <c r="AB9" i="18"/>
  <c r="AB74" i="18"/>
  <c r="AB46" i="18"/>
  <c r="AB206" i="18"/>
  <c r="AB212" i="18"/>
  <c r="AB41" i="18"/>
  <c r="AB45" i="18"/>
  <c r="AB56" i="18"/>
  <c r="AB119" i="18"/>
  <c r="AB86" i="18"/>
  <c r="AL128" i="11" l="1"/>
  <c r="AL152" i="11"/>
  <c r="AL130" i="11"/>
  <c r="AL133" i="11"/>
  <c r="AL145" i="11"/>
  <c r="AL137" i="11"/>
  <c r="AL140" i="11"/>
  <c r="AL147" i="11"/>
  <c r="AL143" i="11"/>
  <c r="AL118" i="11"/>
  <c r="I65" i="8" l="1"/>
  <c r="J65" i="8" s="1"/>
  <c r="Q59" i="8"/>
  <c r="F59" i="8" l="1"/>
  <c r="G59" i="8" s="1"/>
  <c r="K65" i="8"/>
  <c r="AR1" i="11" l="1"/>
  <c r="AF2" i="11" l="1"/>
  <c r="AG2" i="11" s="1"/>
  <c r="AH2" i="11" s="1"/>
  <c r="AF159" i="11"/>
  <c r="AG159" i="11" s="1"/>
  <c r="AF171" i="11"/>
  <c r="AG171" i="11" s="1"/>
  <c r="AF158" i="11"/>
  <c r="AG158" i="11" s="1"/>
  <c r="AF162" i="11"/>
  <c r="AG162" i="11" s="1"/>
  <c r="AF166" i="11"/>
  <c r="AG166" i="11" s="1"/>
  <c r="AF170" i="11"/>
  <c r="AG170" i="11" s="1"/>
  <c r="AF174" i="11"/>
  <c r="AG174" i="11" s="1"/>
  <c r="AF160" i="11"/>
  <c r="AG160" i="11" s="1"/>
  <c r="AF168" i="11"/>
  <c r="AG168" i="11" s="1"/>
  <c r="AF163" i="11"/>
  <c r="AG163" i="11" s="1"/>
  <c r="AF167" i="11"/>
  <c r="AG167" i="11" s="1"/>
  <c r="AF157" i="11"/>
  <c r="AG157" i="11" s="1"/>
  <c r="AF161" i="11"/>
  <c r="AG161" i="11" s="1"/>
  <c r="AF165" i="11"/>
  <c r="AG165" i="11" s="1"/>
  <c r="AF169" i="11"/>
  <c r="AG169" i="11" s="1"/>
  <c r="AF173" i="11"/>
  <c r="AG173" i="11" s="1"/>
  <c r="AF164" i="11"/>
  <c r="AG164" i="11" s="1"/>
  <c r="AF172" i="11"/>
  <c r="AG172" i="11" s="1"/>
  <c r="AF175" i="11"/>
  <c r="AG175" i="11" s="1"/>
  <c r="AF154" i="11"/>
  <c r="AG154" i="11" s="1"/>
  <c r="AF140" i="11"/>
  <c r="AG140" i="11" s="1"/>
  <c r="AF128" i="11"/>
  <c r="AG128" i="11" s="1"/>
  <c r="AF137" i="11"/>
  <c r="AG137" i="11" s="1"/>
  <c r="AF118" i="11"/>
  <c r="AG118" i="11" s="1"/>
  <c r="AF143" i="11"/>
  <c r="AG143" i="11" s="1"/>
  <c r="AF133" i="11"/>
  <c r="AG133" i="11" s="1"/>
  <c r="AF147" i="11"/>
  <c r="AG147" i="11" s="1"/>
  <c r="AF130" i="11"/>
  <c r="AG130" i="11" s="1"/>
  <c r="AF152" i="11"/>
  <c r="AG152" i="11" s="1"/>
  <c r="AF145" i="11"/>
  <c r="AG145" i="11" s="1"/>
  <c r="AB71" i="18"/>
  <c r="AH159" i="11" l="1"/>
  <c r="AI159" i="11"/>
  <c r="AH169" i="11"/>
  <c r="AI169" i="11"/>
  <c r="AH174" i="11"/>
  <c r="AI174" i="11"/>
  <c r="AH164" i="11"/>
  <c r="AI164" i="11"/>
  <c r="AH173" i="11"/>
  <c r="AI173" i="11"/>
  <c r="AH161" i="11"/>
  <c r="AI161" i="11"/>
  <c r="AH166" i="11"/>
  <c r="AI166" i="11"/>
  <c r="AH168" i="11"/>
  <c r="AI168" i="11"/>
  <c r="AH160" i="11"/>
  <c r="AI160" i="11"/>
  <c r="AI165" i="11"/>
  <c r="AH165" i="11"/>
  <c r="AH157" i="11"/>
  <c r="AI157" i="11"/>
  <c r="AH162" i="11"/>
  <c r="AI162" i="11"/>
  <c r="AI175" i="11"/>
  <c r="AH175" i="11"/>
  <c r="AH167" i="11"/>
  <c r="AI167" i="11"/>
  <c r="AH158" i="11"/>
  <c r="AI158" i="11"/>
  <c r="AH170" i="11"/>
  <c r="AI170" i="11"/>
  <c r="AH172" i="11"/>
  <c r="AI172" i="11"/>
  <c r="AH163" i="11"/>
  <c r="AI163" i="11"/>
  <c r="AH171" i="11"/>
  <c r="AI171" i="11"/>
  <c r="AH154" i="11"/>
  <c r="AH152" i="11"/>
  <c r="AH140" i="11"/>
  <c r="AH147" i="11"/>
  <c r="AH133" i="11"/>
  <c r="AH143" i="11"/>
  <c r="AH118" i="11"/>
  <c r="AH130" i="11"/>
  <c r="AH137" i="11"/>
  <c r="AH145" i="11"/>
  <c r="AH128" i="11"/>
  <c r="Z138" i="11"/>
  <c r="AB138" i="11"/>
  <c r="Z56" i="11"/>
  <c r="AB56" i="11"/>
  <c r="Z107" i="11"/>
  <c r="AB107" i="11"/>
  <c r="Z88" i="11"/>
  <c r="AB88" i="11"/>
  <c r="Z90" i="11"/>
  <c r="AB90" i="11"/>
  <c r="AL90" i="11" l="1"/>
  <c r="AL88" i="11"/>
  <c r="AL107" i="11"/>
  <c r="AL56" i="11"/>
  <c r="AL138" i="11"/>
  <c r="AB31" i="18"/>
  <c r="AB21" i="18"/>
  <c r="AB171" i="18"/>
  <c r="AB210" i="18"/>
  <c r="AB211" i="18"/>
  <c r="Z136" i="11" l="1"/>
  <c r="AB136" i="11"/>
  <c r="Z34" i="11"/>
  <c r="AB34" i="11"/>
  <c r="Z5" i="11"/>
  <c r="AB5" i="11"/>
  <c r="Z6" i="11"/>
  <c r="AB6" i="11"/>
  <c r="Z9" i="11"/>
  <c r="AB9" i="11"/>
  <c r="Z11" i="11"/>
  <c r="AB11" i="11"/>
  <c r="Z16" i="11"/>
  <c r="AB16" i="11"/>
  <c r="Z117" i="11"/>
  <c r="AB117" i="11"/>
  <c r="AB64" i="18"/>
  <c r="AB84" i="18"/>
  <c r="AB162" i="18"/>
  <c r="AB217" i="18"/>
  <c r="AB12" i="18"/>
  <c r="AB132" i="18"/>
  <c r="AB135" i="18"/>
  <c r="AB51" i="18"/>
  <c r="AB29" i="18"/>
  <c r="AB15" i="18"/>
  <c r="AB68" i="18"/>
  <c r="AB47" i="18"/>
  <c r="AB83" i="18"/>
  <c r="AB70" i="18"/>
  <c r="AB209" i="18"/>
  <c r="AB215" i="18"/>
  <c r="AB224" i="18"/>
  <c r="AB227" i="18"/>
  <c r="AB226" i="18"/>
  <c r="AB242" i="18"/>
  <c r="AB42" i="18"/>
  <c r="AB107" i="18"/>
  <c r="AB108" i="18"/>
  <c r="AB65" i="18"/>
  <c r="AB75" i="18"/>
  <c r="AB102" i="18"/>
  <c r="AB5" i="18"/>
  <c r="AB76" i="18"/>
  <c r="AB58" i="18"/>
  <c r="AB175" i="18"/>
  <c r="AB111" i="18"/>
  <c r="AB188" i="18"/>
  <c r="AB182" i="18"/>
  <c r="AB181" i="18"/>
  <c r="AB236" i="18"/>
  <c r="AB238" i="18"/>
  <c r="AB223" i="18"/>
  <c r="AB82" i="18"/>
  <c r="AB138" i="18"/>
  <c r="AB191" i="18"/>
  <c r="AB35" i="18"/>
  <c r="AB115" i="18"/>
  <c r="AB196" i="18"/>
  <c r="AB204" i="18"/>
  <c r="AB205" i="18"/>
  <c r="AB194" i="18"/>
  <c r="AB60" i="18"/>
  <c r="AB26" i="18"/>
  <c r="AB67" i="18"/>
  <c r="AB142" i="18"/>
  <c r="AB146" i="18"/>
  <c r="AB143" i="18"/>
  <c r="AB152" i="18"/>
  <c r="AB186" i="18"/>
  <c r="AB197" i="18"/>
  <c r="AB169" i="18"/>
  <c r="AB240" i="18"/>
  <c r="AB178" i="18"/>
  <c r="AB218" i="18"/>
  <c r="AB228" i="18"/>
  <c r="AB124" i="18"/>
  <c r="AB122" i="18"/>
  <c r="AB125" i="18"/>
  <c r="AB144" i="18"/>
  <c r="AB145" i="18"/>
  <c r="AB179" i="18"/>
  <c r="AB139" i="18"/>
  <c r="AB118" i="18"/>
  <c r="AB163" i="18"/>
  <c r="AB195" i="18"/>
  <c r="AB198" i="18"/>
  <c r="AB203" i="18"/>
  <c r="AB207" i="18"/>
  <c r="AB229" i="18"/>
  <c r="AB184" i="18"/>
  <c r="AB216" i="18"/>
  <c r="AB239" i="18"/>
  <c r="AB244" i="18"/>
  <c r="AB248" i="18"/>
  <c r="AB79" i="18"/>
  <c r="AB93" i="18"/>
  <c r="AB222" i="18"/>
  <c r="AB243" i="18"/>
  <c r="AB219" i="18"/>
  <c r="AB245" i="18"/>
  <c r="AB201" i="18"/>
  <c r="AB187" i="18"/>
  <c r="AB104" i="18"/>
  <c r="AB91" i="18"/>
  <c r="AB221" i="18"/>
  <c r="AB123" i="18"/>
  <c r="AB87" i="18"/>
  <c r="AB11" i="18"/>
  <c r="AB54" i="18"/>
  <c r="AB147" i="18"/>
  <c r="AB39" i="18"/>
  <c r="AB25" i="18"/>
  <c r="AB32" i="18"/>
  <c r="AB117" i="18"/>
  <c r="AB159" i="18"/>
  <c r="AB160" i="18"/>
  <c r="AB202" i="18"/>
  <c r="AB200" i="18"/>
  <c r="AB220" i="18"/>
  <c r="AB231" i="18"/>
  <c r="AB234" i="18"/>
  <c r="AB241" i="18"/>
  <c r="AB246" i="18"/>
  <c r="AB166" i="18"/>
  <c r="AB249" i="18"/>
  <c r="AB170" i="18"/>
  <c r="AB177" i="18"/>
  <c r="AB157" i="18"/>
  <c r="AB208" i="18"/>
  <c r="AB6" i="18"/>
  <c r="AB66" i="18"/>
  <c r="AB81" i="18"/>
  <c r="AB94" i="18"/>
  <c r="AB230" i="18"/>
  <c r="AB106" i="18"/>
  <c r="AB105" i="18"/>
  <c r="AB73" i="18"/>
  <c r="AB78" i="18"/>
  <c r="AB100" i="18"/>
  <c r="AB27" i="18"/>
  <c r="AB34" i="18"/>
  <c r="AB38" i="18"/>
  <c r="AB77" i="18"/>
  <c r="AB30" i="18"/>
  <c r="AB36" i="18"/>
  <c r="AB50" i="18"/>
  <c r="AB99" i="18"/>
  <c r="AB103" i="18"/>
  <c r="AB126" i="18"/>
  <c r="AB134" i="18"/>
  <c r="AB97" i="18"/>
  <c r="AB151" i="18"/>
  <c r="AB180" i="18"/>
  <c r="AB172" i="18"/>
  <c r="AB174" i="18"/>
  <c r="AB237" i="18"/>
  <c r="AB247" i="18"/>
  <c r="AB173" i="18"/>
  <c r="AB165" i="18"/>
  <c r="AB167" i="18"/>
  <c r="AB232" i="18"/>
  <c r="AB176" i="18"/>
  <c r="AB199" i="18"/>
  <c r="AB214" i="18"/>
  <c r="AB133" i="18"/>
  <c r="AB168" i="18"/>
  <c r="AB37" i="18"/>
  <c r="AB43" i="18"/>
  <c r="AB23" i="18"/>
  <c r="AB44" i="18"/>
  <c r="AB121" i="18"/>
  <c r="AB101" i="18"/>
  <c r="AB69" i="18"/>
  <c r="AB233" i="18"/>
  <c r="AB85" i="18"/>
  <c r="AB92" i="18"/>
  <c r="AB189" i="18"/>
  <c r="AB120" i="18"/>
  <c r="AB40" i="18"/>
  <c r="AB61" i="18"/>
  <c r="AB4" i="18"/>
  <c r="AB235" i="18"/>
  <c r="AB89" i="18"/>
  <c r="AB98" i="18"/>
  <c r="AB18" i="18"/>
  <c r="AB33" i="18"/>
  <c r="AB8" i="18"/>
  <c r="AB63" i="18"/>
  <c r="AB3" i="18"/>
  <c r="AB109" i="18"/>
  <c r="AB114" i="18"/>
  <c r="AB156" i="18"/>
  <c r="AB128" i="18"/>
  <c r="AB129" i="18"/>
  <c r="AB131" i="18"/>
  <c r="AB149" i="18"/>
  <c r="AB158" i="18"/>
  <c r="AB161" i="18"/>
  <c r="AB164" i="18"/>
  <c r="AB148" i="18"/>
  <c r="AB150" i="18"/>
  <c r="AB72" i="18"/>
  <c r="AB53" i="18"/>
  <c r="AB113" i="18"/>
  <c r="AB192" i="18"/>
  <c r="AB20" i="18"/>
  <c r="AB62" i="18"/>
  <c r="AB193" i="18"/>
  <c r="AB48" i="18"/>
  <c r="AB22" i="18"/>
  <c r="AB14" i="18"/>
  <c r="AB130" i="18"/>
  <c r="AB7" i="18"/>
  <c r="AB112" i="18"/>
  <c r="AB140" i="18"/>
  <c r="AB2" i="18"/>
  <c r="AB10" i="18"/>
  <c r="AB49" i="18"/>
  <c r="AB90" i="18"/>
  <c r="AB183" i="18"/>
  <c r="AB190" i="18"/>
  <c r="AB16" i="18"/>
  <c r="AB110" i="18"/>
  <c r="AB116" i="18"/>
  <c r="AB127" i="18"/>
  <c r="AB185" i="18"/>
  <c r="AB154" i="18"/>
  <c r="AB225" i="18"/>
  <c r="AB80" i="18"/>
  <c r="AB28" i="18"/>
  <c r="AB13" i="18"/>
  <c r="AB136" i="18"/>
  <c r="AB96" i="18"/>
  <c r="AB141" i="18"/>
  <c r="AB19" i="18"/>
  <c r="AB153" i="18"/>
  <c r="AB155" i="18"/>
  <c r="AB59" i="18"/>
  <c r="AB95" i="18"/>
  <c r="AL11" i="11" l="1"/>
  <c r="AL34" i="11"/>
  <c r="AL16" i="11"/>
  <c r="AL5" i="11"/>
  <c r="AL117" i="11"/>
  <c r="AL6" i="11"/>
  <c r="AL9" i="11"/>
  <c r="AL136" i="11"/>
  <c r="Z91" i="11" l="1"/>
  <c r="AB91" i="11"/>
  <c r="Z49" i="11"/>
  <c r="AB49" i="11"/>
  <c r="Z40" i="11"/>
  <c r="AB40" i="11"/>
  <c r="AF88" i="11" l="1"/>
  <c r="AG88" i="11" s="1"/>
  <c r="AF107" i="11"/>
  <c r="AG107" i="11" s="1"/>
  <c r="AF56" i="11"/>
  <c r="AG56" i="11" s="1"/>
  <c r="AF138" i="11"/>
  <c r="AG138" i="11" s="1"/>
  <c r="AF90" i="11"/>
  <c r="AG90" i="11" s="1"/>
  <c r="AF12" i="11"/>
  <c r="AG12" i="11" s="1"/>
  <c r="AF34" i="11"/>
  <c r="AG34" i="11" s="1"/>
  <c r="AH34" i="11" s="1"/>
  <c r="AF11" i="11"/>
  <c r="AG11" i="11" s="1"/>
  <c r="AH11" i="11" s="1"/>
  <c r="AF136" i="11"/>
  <c r="AG136" i="11" s="1"/>
  <c r="AH136" i="11" s="1"/>
  <c r="AF6" i="11"/>
  <c r="AG6" i="11" s="1"/>
  <c r="AH6" i="11" s="1"/>
  <c r="AF117" i="11"/>
  <c r="AG117" i="11" s="1"/>
  <c r="AH117" i="11" s="1"/>
  <c r="AF5" i="11"/>
  <c r="AG5" i="11" s="1"/>
  <c r="AH5" i="11" s="1"/>
  <c r="AF16" i="11"/>
  <c r="AG16" i="11" s="1"/>
  <c r="AH16" i="11" s="1"/>
  <c r="AF9" i="11"/>
  <c r="AG9" i="11" s="1"/>
  <c r="AH9" i="11" s="1"/>
  <c r="AL49" i="11"/>
  <c r="AL40" i="11"/>
  <c r="AL91" i="11"/>
  <c r="F2" i="8"/>
  <c r="AH90" i="11" l="1"/>
  <c r="AH56" i="11"/>
  <c r="AH107" i="11"/>
  <c r="AH138" i="11"/>
  <c r="AH88" i="11"/>
  <c r="AF40" i="11" l="1"/>
  <c r="AG40" i="11" s="1"/>
  <c r="AF49" i="11"/>
  <c r="AG49" i="11" s="1"/>
  <c r="AF91" i="11"/>
  <c r="AG91" i="11" s="1"/>
  <c r="F3" i="8"/>
  <c r="G3" i="8" s="1"/>
  <c r="F5" i="8"/>
  <c r="F6" i="8"/>
  <c r="F11" i="8"/>
  <c r="F12" i="8"/>
  <c r="F13" i="8"/>
  <c r="F14" i="8"/>
  <c r="F19" i="8"/>
  <c r="F20" i="8"/>
  <c r="F21" i="8"/>
  <c r="F22" i="8"/>
  <c r="F27" i="8"/>
  <c r="F28" i="8"/>
  <c r="F29" i="8"/>
  <c r="F30" i="8"/>
  <c r="F35" i="8"/>
  <c r="F36" i="8"/>
  <c r="F37" i="8"/>
  <c r="F42" i="8"/>
  <c r="F43" i="8"/>
  <c r="F44" i="8"/>
  <c r="F45" i="8"/>
  <c r="F50" i="8"/>
  <c r="F51" i="8"/>
  <c r="G51" i="8" s="1"/>
  <c r="F52" i="8"/>
  <c r="F53" i="8"/>
  <c r="F54" i="8"/>
  <c r="F57" i="8"/>
  <c r="G57" i="8" s="1"/>
  <c r="F60" i="8"/>
  <c r="G60" i="8" s="1"/>
  <c r="F62" i="8"/>
  <c r="G62" i="8" s="1"/>
  <c r="AH91" i="11" l="1"/>
  <c r="AH49" i="11"/>
  <c r="AH40" i="11"/>
  <c r="F4" i="8"/>
  <c r="G4" i="8" s="1"/>
  <c r="F58" i="8"/>
  <c r="G58" i="8" s="1"/>
  <c r="F49" i="8"/>
  <c r="F41" i="8"/>
  <c r="F34" i="8"/>
  <c r="F26" i="8"/>
  <c r="F18" i="8"/>
  <c r="F10" i="8"/>
  <c r="F46" i="8"/>
  <c r="F38" i="8"/>
  <c r="F31" i="8"/>
  <c r="F23" i="8"/>
  <c r="F15" i="8"/>
  <c r="F7" i="8"/>
  <c r="F61" i="8"/>
  <c r="G61" i="8" s="1"/>
  <c r="G2" i="8"/>
  <c r="F56" i="8"/>
  <c r="F33" i="8"/>
  <c r="F40" i="8"/>
  <c r="F25" i="8"/>
  <c r="F9" i="8"/>
  <c r="F48" i="8"/>
  <c r="F17" i="8"/>
  <c r="F55" i="8"/>
  <c r="F47" i="8"/>
  <c r="F39" i="8"/>
  <c r="F32" i="8"/>
  <c r="F24" i="8"/>
  <c r="F16" i="8"/>
  <c r="F8" i="8"/>
  <c r="AB12" i="11"/>
  <c r="AB131" i="11"/>
  <c r="AF131" i="11"/>
  <c r="AG131" i="11" s="1"/>
  <c r="Z155" i="11"/>
  <c r="AB155" i="11"/>
  <c r="AF155" i="11"/>
  <c r="AG155" i="11" s="1"/>
  <c r="AB89" i="11"/>
  <c r="AF89" i="11"/>
  <c r="AG89" i="11" s="1"/>
  <c r="AB144" i="11"/>
  <c r="AF144" i="11"/>
  <c r="AG144" i="11" s="1"/>
  <c r="Z25" i="11"/>
  <c r="AB25" i="11"/>
  <c r="AF25" i="11"/>
  <c r="AG25" i="11" s="1"/>
  <c r="Z106" i="11"/>
  <c r="AB106" i="11"/>
  <c r="AF106" i="11"/>
  <c r="AG106" i="11" s="1"/>
  <c r="AB139" i="11"/>
  <c r="AF139" i="11"/>
  <c r="AG139" i="11" s="1"/>
  <c r="Z23" i="11"/>
  <c r="AB23" i="11"/>
  <c r="AF23" i="11"/>
  <c r="AG23" i="11" s="1"/>
  <c r="Z27" i="11"/>
  <c r="AB27" i="11"/>
  <c r="AF27" i="11"/>
  <c r="AG27" i="11" s="1"/>
  <c r="Z64" i="11"/>
  <c r="AB64" i="11"/>
  <c r="AF64" i="11"/>
  <c r="AG64" i="11" s="1"/>
  <c r="Z150" i="11"/>
  <c r="AB150" i="11"/>
  <c r="AF150" i="11"/>
  <c r="AG150" i="11" s="1"/>
  <c r="Z31" i="11"/>
  <c r="AB31" i="11"/>
  <c r="AF31" i="11"/>
  <c r="AG31" i="11" s="1"/>
  <c r="Z102" i="11"/>
  <c r="AL102" i="11" s="1"/>
  <c r="AB102" i="11"/>
  <c r="AF102" i="11"/>
  <c r="AG102" i="11" s="1"/>
  <c r="Z51" i="11"/>
  <c r="AB51" i="11"/>
  <c r="AF51" i="11"/>
  <c r="AG51" i="11" s="1"/>
  <c r="Z123" i="11"/>
  <c r="AL123" i="11" s="1"/>
  <c r="AB123" i="11"/>
  <c r="AF123" i="11"/>
  <c r="AG123" i="11" s="1"/>
  <c r="Z108" i="11"/>
  <c r="AL108" i="11" s="1"/>
  <c r="AB108" i="11"/>
  <c r="AF108" i="11"/>
  <c r="AG108" i="11" s="1"/>
  <c r="Z92" i="11"/>
  <c r="AB92" i="11"/>
  <c r="AF92" i="11"/>
  <c r="AG92" i="11" s="1"/>
  <c r="Z63" i="11"/>
  <c r="AB63" i="11"/>
  <c r="AF63" i="11"/>
  <c r="AG63" i="11" s="1"/>
  <c r="Z8" i="11"/>
  <c r="AL8" i="11" s="1"/>
  <c r="AB8" i="11"/>
  <c r="AF8" i="11"/>
  <c r="AG8" i="11" s="1"/>
  <c r="AB153" i="11"/>
  <c r="AF153" i="11"/>
  <c r="AG153" i="11" s="1"/>
  <c r="Z87" i="11"/>
  <c r="AB87" i="11"/>
  <c r="AF87" i="11"/>
  <c r="AG87" i="11" s="1"/>
  <c r="Z83" i="11"/>
  <c r="AB83" i="11"/>
  <c r="AF83" i="11"/>
  <c r="AG83" i="11" s="1"/>
  <c r="Z33" i="11"/>
  <c r="AB33" i="11"/>
  <c r="AF33" i="11"/>
  <c r="AG33" i="11" s="1"/>
  <c r="Z104" i="11"/>
  <c r="AB104" i="11"/>
  <c r="AF104" i="11"/>
  <c r="AG104" i="11" s="1"/>
  <c r="Z35" i="11"/>
  <c r="AB35" i="11"/>
  <c r="AF35" i="11"/>
  <c r="AG35" i="11" s="1"/>
  <c r="Z66" i="11"/>
  <c r="AB66" i="11"/>
  <c r="AF66" i="11"/>
  <c r="AG66" i="11" s="1"/>
  <c r="Z21" i="11"/>
  <c r="AL21" i="11" s="1"/>
  <c r="AB21" i="11"/>
  <c r="AF21" i="11"/>
  <c r="AG21" i="11" s="1"/>
  <c r="Z19" i="11"/>
  <c r="AB19" i="11"/>
  <c r="AF19" i="11"/>
  <c r="AG19" i="11" s="1"/>
  <c r="Z20" i="11"/>
  <c r="AB20" i="11"/>
  <c r="AF20" i="11"/>
  <c r="AG20" i="11" s="1"/>
  <c r="AB18" i="11"/>
  <c r="AF18" i="11"/>
  <c r="AG18" i="11" s="1"/>
  <c r="AB68" i="11"/>
  <c r="AF68" i="11"/>
  <c r="AG68" i="11" s="1"/>
  <c r="Z103" i="11"/>
  <c r="AL103" i="11" s="1"/>
  <c r="AB103" i="11"/>
  <c r="AF103" i="11"/>
  <c r="AG103" i="11" s="1"/>
  <c r="Z10" i="11"/>
  <c r="AB10" i="11"/>
  <c r="AF10" i="11"/>
  <c r="AG10" i="11" s="1"/>
  <c r="Z78" i="11"/>
  <c r="AB78" i="11"/>
  <c r="AF78" i="11"/>
  <c r="AG78" i="11" s="1"/>
  <c r="AB67" i="11"/>
  <c r="AF67" i="11"/>
  <c r="AG67" i="11" s="1"/>
  <c r="Z45" i="11"/>
  <c r="AL45" i="11" s="1"/>
  <c r="AB45" i="11"/>
  <c r="AF45" i="11"/>
  <c r="AG45" i="11" s="1"/>
  <c r="Z22" i="11"/>
  <c r="AL22" i="11" s="1"/>
  <c r="AB22" i="11"/>
  <c r="AF22" i="11"/>
  <c r="AG22" i="11" s="1"/>
  <c r="Z95" i="11"/>
  <c r="AL95" i="11" s="1"/>
  <c r="AB95" i="11"/>
  <c r="AF95" i="11"/>
  <c r="AG95" i="11" s="1"/>
  <c r="AB113" i="11"/>
  <c r="AF113" i="11"/>
  <c r="AG113" i="11" s="1"/>
  <c r="Z109" i="11"/>
  <c r="AL109" i="11" s="1"/>
  <c r="AB109" i="11"/>
  <c r="AF109" i="11"/>
  <c r="AG109" i="11" s="1"/>
  <c r="Z36" i="11"/>
  <c r="AB36" i="11"/>
  <c r="AF36" i="11"/>
  <c r="AG36" i="11" s="1"/>
  <c r="Z62" i="11"/>
  <c r="AB62" i="11"/>
  <c r="AF62" i="11"/>
  <c r="AG62" i="11" s="1"/>
  <c r="Z99" i="11"/>
  <c r="AL99" i="11" s="1"/>
  <c r="AB99" i="11"/>
  <c r="AF99" i="11"/>
  <c r="AG99" i="11" s="1"/>
  <c r="Z112" i="11"/>
  <c r="AB112" i="11"/>
  <c r="AF112" i="11"/>
  <c r="AG112" i="11" s="1"/>
  <c r="Z111" i="11"/>
  <c r="AL111" i="11" s="1"/>
  <c r="AB111" i="11"/>
  <c r="AF111" i="11"/>
  <c r="AG111" i="11" s="1"/>
  <c r="Z37" i="11"/>
  <c r="AB37" i="11"/>
  <c r="AF37" i="11"/>
  <c r="AG37" i="11" s="1"/>
  <c r="Z73" i="11"/>
  <c r="AL73" i="11" s="1"/>
  <c r="AB73" i="11"/>
  <c r="AF73" i="11"/>
  <c r="AG73" i="11" s="1"/>
  <c r="Z30" i="11"/>
  <c r="AL30" i="11" s="1"/>
  <c r="AB30" i="11"/>
  <c r="AF30" i="11"/>
  <c r="AG30" i="11" s="1"/>
  <c r="Z119" i="11"/>
  <c r="AB119" i="11"/>
  <c r="AF119" i="11"/>
  <c r="AG119" i="11" s="1"/>
  <c r="Z127" i="11"/>
  <c r="AB127" i="11"/>
  <c r="AF127" i="11"/>
  <c r="AG127" i="11" s="1"/>
  <c r="AB71" i="11"/>
  <c r="AF71" i="11"/>
  <c r="AG71" i="11" s="1"/>
  <c r="AB53" i="11"/>
  <c r="AF53" i="11"/>
  <c r="AG53" i="11" s="1"/>
  <c r="Z15" i="11"/>
  <c r="AB15" i="11"/>
  <c r="AF15" i="11"/>
  <c r="AG15" i="11" s="1"/>
  <c r="Z86" i="11"/>
  <c r="AB86" i="11"/>
  <c r="AF86" i="11"/>
  <c r="AG86" i="11" s="1"/>
  <c r="AB54" i="11"/>
  <c r="AF54" i="11"/>
  <c r="AG54" i="11" s="1"/>
  <c r="Z110" i="11"/>
  <c r="AB110" i="11"/>
  <c r="AF110" i="11"/>
  <c r="AG110" i="11" s="1"/>
  <c r="Z141" i="11"/>
  <c r="AB141" i="11"/>
  <c r="AF141" i="11"/>
  <c r="AG141" i="11" s="1"/>
  <c r="AB13" i="11"/>
  <c r="AF13" i="11"/>
  <c r="AG13" i="11" s="1"/>
  <c r="AB97" i="11"/>
  <c r="AF97" i="11"/>
  <c r="AG97" i="11" s="1"/>
  <c r="Z121" i="11"/>
  <c r="AB121" i="11"/>
  <c r="AF121" i="11"/>
  <c r="AG121" i="11" s="1"/>
  <c r="Z70" i="11"/>
  <c r="AB70" i="11"/>
  <c r="AF70" i="11"/>
  <c r="AG70" i="11" s="1"/>
  <c r="AB105" i="11"/>
  <c r="AF105" i="11"/>
  <c r="AG105" i="11" s="1"/>
  <c r="Z77" i="11"/>
  <c r="AB77" i="11"/>
  <c r="AF77" i="11"/>
  <c r="AG77" i="11" s="1"/>
  <c r="AB96" i="11"/>
  <c r="AF96" i="11"/>
  <c r="AG96" i="11" s="1"/>
  <c r="Z74" i="11"/>
  <c r="AB74" i="11"/>
  <c r="AF74" i="11"/>
  <c r="AG74" i="11" s="1"/>
  <c r="Z115" i="11"/>
  <c r="AB115" i="11"/>
  <c r="AF115" i="11"/>
  <c r="AG115" i="11" s="1"/>
  <c r="Z47" i="11"/>
  <c r="AB47" i="11"/>
  <c r="AF47" i="11"/>
  <c r="AG47" i="11" s="1"/>
  <c r="Z100" i="11"/>
  <c r="AL100" i="11" s="1"/>
  <c r="AB100" i="11"/>
  <c r="AF100" i="11"/>
  <c r="AG100" i="11" s="1"/>
  <c r="Z46" i="11"/>
  <c r="AB46" i="11"/>
  <c r="AF46" i="11"/>
  <c r="AG46" i="11" s="1"/>
  <c r="Z4" i="11"/>
  <c r="AB4" i="11"/>
  <c r="AF4" i="11"/>
  <c r="AG4" i="11" s="1"/>
  <c r="Z69" i="11"/>
  <c r="AB69" i="11"/>
  <c r="AF69" i="11"/>
  <c r="AG69" i="11" s="1"/>
  <c r="AB129" i="11"/>
  <c r="AF129" i="11"/>
  <c r="AG129" i="11" s="1"/>
  <c r="AB58" i="11"/>
  <c r="AF58" i="11"/>
  <c r="AG58" i="11" s="1"/>
  <c r="Z134" i="11"/>
  <c r="AB134" i="11"/>
  <c r="AF134" i="11"/>
  <c r="AG134" i="11" s="1"/>
  <c r="AB72" i="11"/>
  <c r="AF72" i="11"/>
  <c r="AG72" i="11" s="1"/>
  <c r="Z43" i="11"/>
  <c r="AB43" i="11"/>
  <c r="AF43" i="11"/>
  <c r="AG43" i="11" s="1"/>
  <c r="AB94" i="11"/>
  <c r="AF94" i="11"/>
  <c r="AG94" i="11" s="1"/>
  <c r="Z125" i="11"/>
  <c r="AB125" i="11"/>
  <c r="AF125" i="11"/>
  <c r="AG125" i="11" s="1"/>
  <c r="AB61" i="11"/>
  <c r="AF61" i="11"/>
  <c r="AG61" i="11" s="1"/>
  <c r="AB76" i="11"/>
  <c r="AF76" i="11"/>
  <c r="AG76" i="11" s="1"/>
  <c r="Z28" i="11"/>
  <c r="AB28" i="11"/>
  <c r="AF28" i="11"/>
  <c r="AG28" i="11" s="1"/>
  <c r="Z39" i="11"/>
  <c r="AB39" i="11"/>
  <c r="AF39" i="11"/>
  <c r="AG39" i="11" s="1"/>
  <c r="Z116" i="11"/>
  <c r="AB116" i="11"/>
  <c r="AF116" i="11"/>
  <c r="AG116" i="11" s="1"/>
  <c r="Z79" i="11"/>
  <c r="AB79" i="11"/>
  <c r="AF79" i="11"/>
  <c r="AG79" i="11" s="1"/>
  <c r="AB122" i="11"/>
  <c r="AF122" i="11"/>
  <c r="AG122" i="11" s="1"/>
  <c r="AB84" i="11"/>
  <c r="AF84" i="11"/>
  <c r="AG84" i="11" s="1"/>
  <c r="AB59" i="11"/>
  <c r="AF59" i="11"/>
  <c r="AG59" i="11" s="1"/>
  <c r="AB124" i="11"/>
  <c r="AF124" i="11"/>
  <c r="AG124" i="11" s="1"/>
  <c r="Z29" i="11"/>
  <c r="AB29" i="11"/>
  <c r="AF29" i="11"/>
  <c r="AG29" i="11" s="1"/>
  <c r="AB98" i="11"/>
  <c r="AF98" i="11"/>
  <c r="AG98" i="11" s="1"/>
  <c r="AB82" i="11"/>
  <c r="AF82" i="11"/>
  <c r="AG82" i="11" s="1"/>
  <c r="Z75" i="11"/>
  <c r="AB75" i="11"/>
  <c r="AF75" i="11"/>
  <c r="AG75" i="11" s="1"/>
  <c r="AB65" i="11"/>
  <c r="AF65" i="11"/>
  <c r="AG65" i="11" s="1"/>
  <c r="AB80" i="11"/>
  <c r="AF80" i="11"/>
  <c r="AG80" i="11" s="1"/>
  <c r="Z156" i="11"/>
  <c r="AB156" i="11"/>
  <c r="AF156" i="11"/>
  <c r="AG156" i="11" s="1"/>
  <c r="Z14" i="11"/>
  <c r="AB14" i="11"/>
  <c r="AF14" i="11"/>
  <c r="AG14" i="11" s="1"/>
  <c r="AB81" i="11"/>
  <c r="AF81" i="11"/>
  <c r="AG81" i="11" s="1"/>
  <c r="Z120" i="11"/>
  <c r="AB120" i="11"/>
  <c r="AF120" i="11"/>
  <c r="AG120" i="11" s="1"/>
  <c r="AB42" i="11"/>
  <c r="AF42" i="11"/>
  <c r="AG42" i="11" s="1"/>
  <c r="AB57" i="11"/>
  <c r="AF57" i="11"/>
  <c r="AG57" i="11" s="1"/>
  <c r="AB149" i="11"/>
  <c r="AF149" i="11"/>
  <c r="AG149" i="11" s="1"/>
  <c r="Z24" i="11"/>
  <c r="AB24" i="11"/>
  <c r="AF24" i="11"/>
  <c r="AG24" i="11" s="1"/>
  <c r="Z26" i="11"/>
  <c r="AB26" i="11"/>
  <c r="AF26" i="11"/>
  <c r="AG26" i="11" s="1"/>
  <c r="AB142" i="11"/>
  <c r="AF142" i="11"/>
  <c r="AG142" i="11" s="1"/>
  <c r="AB60" i="11"/>
  <c r="AF60" i="11"/>
  <c r="AG60" i="11" s="1"/>
  <c r="AB38" i="11"/>
  <c r="AF38" i="11"/>
  <c r="AG38" i="11" s="1"/>
  <c r="AB32" i="11"/>
  <c r="AF32" i="11"/>
  <c r="AG32" i="11" s="1"/>
  <c r="AB17" i="11"/>
  <c r="AF17" i="11"/>
  <c r="AG17" i="11" s="1"/>
  <c r="Z48" i="11"/>
  <c r="AB48" i="11"/>
  <c r="AF48" i="11"/>
  <c r="AG48" i="11" s="1"/>
  <c r="AB148" i="11"/>
  <c r="AF148" i="11"/>
  <c r="AG148" i="11" s="1"/>
  <c r="Z3" i="11"/>
  <c r="AB3" i="11"/>
  <c r="AF3" i="11"/>
  <c r="AG3" i="11" s="1"/>
  <c r="AB50" i="11"/>
  <c r="AF50" i="11"/>
  <c r="AG50" i="11" s="1"/>
  <c r="AB52" i="11"/>
  <c r="AF52" i="11"/>
  <c r="AG52" i="11" s="1"/>
  <c r="AB93" i="11"/>
  <c r="AF93" i="11"/>
  <c r="AG93" i="11" s="1"/>
  <c r="AB126" i="11"/>
  <c r="AF126" i="11"/>
  <c r="AG126" i="11" s="1"/>
  <c r="AB151" i="11"/>
  <c r="AF151" i="11"/>
  <c r="AG151" i="11" s="1"/>
  <c r="AB146" i="11"/>
  <c r="AF146" i="11"/>
  <c r="AG146" i="11" s="1"/>
  <c r="AB55" i="11"/>
  <c r="AF55" i="11"/>
  <c r="AG55" i="11" s="1"/>
  <c r="AB132" i="11"/>
  <c r="AF132" i="11"/>
  <c r="AG132" i="11" s="1"/>
  <c r="AB101" i="11"/>
  <c r="AF101" i="11"/>
  <c r="AG101" i="11" s="1"/>
  <c r="Z114" i="11"/>
  <c r="AB114" i="11"/>
  <c r="AF114" i="11"/>
  <c r="AG114" i="11" s="1"/>
  <c r="Z41" i="11"/>
  <c r="AB41" i="11"/>
  <c r="AF41" i="11"/>
  <c r="AG41" i="11" s="1"/>
  <c r="Z44" i="11"/>
  <c r="AB44" i="11"/>
  <c r="AF44" i="11"/>
  <c r="AG44" i="11" s="1"/>
  <c r="Z135" i="11"/>
  <c r="AB135" i="11"/>
  <c r="AF135" i="11"/>
  <c r="AG135" i="11" s="1"/>
  <c r="Z7" i="11"/>
  <c r="AB7" i="11"/>
  <c r="AF7" i="11"/>
  <c r="AG7" i="11" s="1"/>
  <c r="AB85" i="11"/>
  <c r="AF85" i="11"/>
  <c r="AG85" i="11" s="1"/>
  <c r="Z55" i="11" l="1"/>
  <c r="AL55" i="11" s="1"/>
  <c r="Z142" i="11"/>
  <c r="AL142" i="11" s="1"/>
  <c r="Z80" i="11"/>
  <c r="AL80" i="11" s="1"/>
  <c r="Z96" i="11"/>
  <c r="AH96" i="11" s="1"/>
  <c r="Z85" i="11"/>
  <c r="AH85" i="11" s="1"/>
  <c r="Z132" i="11"/>
  <c r="AH132" i="11" s="1"/>
  <c r="Z57" i="11"/>
  <c r="AL57" i="11" s="1"/>
  <c r="Z153" i="11"/>
  <c r="AH153" i="11" s="1"/>
  <c r="Z144" i="11"/>
  <c r="AL144" i="11" s="1"/>
  <c r="Z126" i="11"/>
  <c r="AH126" i="11" s="1"/>
  <c r="Z82" i="11"/>
  <c r="AH82" i="11" s="1"/>
  <c r="Z84" i="11"/>
  <c r="AH84" i="11" s="1"/>
  <c r="Z93" i="11"/>
  <c r="AL93" i="11" s="1"/>
  <c r="Z32" i="11"/>
  <c r="AH32" i="11" s="1"/>
  <c r="Z149" i="11"/>
  <c r="AH149" i="11" s="1"/>
  <c r="Z81" i="11"/>
  <c r="AL81" i="11" s="1"/>
  <c r="Z72" i="11"/>
  <c r="AL72" i="11" s="1"/>
  <c r="Z97" i="11"/>
  <c r="AL97" i="11" s="1"/>
  <c r="Z113" i="11"/>
  <c r="AH113" i="11" s="1"/>
  <c r="Z151" i="11"/>
  <c r="AL151" i="11" s="1"/>
  <c r="Z148" i="11"/>
  <c r="AL148" i="11" s="1"/>
  <c r="Z94" i="11"/>
  <c r="AH94" i="11" s="1"/>
  <c r="Z105" i="11"/>
  <c r="AL105" i="11" s="1"/>
  <c r="Z71" i="11"/>
  <c r="AL71" i="11" s="1"/>
  <c r="Z18" i="11"/>
  <c r="AL18" i="11" s="1"/>
  <c r="Z131" i="11"/>
  <c r="AH131" i="11" s="1"/>
  <c r="Z61" i="11"/>
  <c r="AL61" i="11" s="1"/>
  <c r="Z89" i="11"/>
  <c r="AH89" i="11" s="1"/>
  <c r="Z52" i="11"/>
  <c r="AH52" i="11" s="1"/>
  <c r="Z60" i="11"/>
  <c r="AL60" i="11" s="1"/>
  <c r="Z17" i="11"/>
  <c r="AL17" i="11" s="1"/>
  <c r="Z98" i="11"/>
  <c r="AL98" i="11" s="1"/>
  <c r="Z12" i="11"/>
  <c r="AL12" i="11" s="1"/>
  <c r="Z42" i="11"/>
  <c r="AL42" i="11" s="1"/>
  <c r="Z65" i="11"/>
  <c r="AL65" i="11" s="1"/>
  <c r="Z122" i="11"/>
  <c r="AL122" i="11" s="1"/>
  <c r="Z53" i="11"/>
  <c r="AL53" i="11" s="1"/>
  <c r="Z67" i="11"/>
  <c r="AL67" i="11" s="1"/>
  <c r="Z68" i="11"/>
  <c r="AL68" i="11" s="1"/>
  <c r="Z50" i="11"/>
  <c r="AL50" i="11" s="1"/>
  <c r="Z129" i="11"/>
  <c r="AL129" i="11" s="1"/>
  <c r="Z59" i="11"/>
  <c r="AL59" i="11" s="1"/>
  <c r="Z58" i="11"/>
  <c r="AL58" i="11" s="1"/>
  <c r="Z54" i="11"/>
  <c r="AL54" i="11" s="1"/>
  <c r="Z139" i="11"/>
  <c r="AL139" i="11" s="1"/>
  <c r="Z146" i="11"/>
  <c r="AL146" i="11" s="1"/>
  <c r="Z101" i="11"/>
  <c r="AL101" i="11" s="1"/>
  <c r="Z38" i="11"/>
  <c r="AL38" i="11" s="1"/>
  <c r="Z124" i="11"/>
  <c r="AH124" i="11" s="1"/>
  <c r="Z76" i="11"/>
  <c r="AH76" i="11" s="1"/>
  <c r="Z13" i="11"/>
  <c r="AH13" i="11" s="1"/>
  <c r="AH103" i="11"/>
  <c r="G40" i="8"/>
  <c r="AH87" i="11"/>
  <c r="AH77" i="11"/>
  <c r="AL115" i="11"/>
  <c r="AL74" i="11"/>
  <c r="AL106" i="11"/>
  <c r="AH3" i="11"/>
  <c r="AL83" i="11"/>
  <c r="AH104" i="11"/>
  <c r="AL119" i="11"/>
  <c r="AH119" i="11"/>
  <c r="AL37" i="11"/>
  <c r="AL51" i="11"/>
  <c r="AL75" i="11"/>
  <c r="AL112" i="11"/>
  <c r="AH112" i="11"/>
  <c r="AL134" i="11"/>
  <c r="AL48" i="11"/>
  <c r="AL4" i="11"/>
  <c r="AH37" i="11"/>
  <c r="AL64" i="11"/>
  <c r="AL120" i="11"/>
  <c r="AL150" i="11"/>
  <c r="AL23" i="11"/>
  <c r="AH148" i="11"/>
  <c r="AL156" i="11"/>
  <c r="AH116" i="11"/>
  <c r="AH28" i="11"/>
  <c r="AL35" i="11"/>
  <c r="AL14" i="11"/>
  <c r="AH29" i="11"/>
  <c r="AL79" i="11"/>
  <c r="AH86" i="11"/>
  <c r="AL19" i="11"/>
  <c r="AL116" i="11"/>
  <c r="AL28" i="11"/>
  <c r="AH74" i="11"/>
  <c r="AH45" i="11"/>
  <c r="AL10" i="11"/>
  <c r="AH10" i="11"/>
  <c r="AL26" i="11"/>
  <c r="AL69" i="11"/>
  <c r="AL87" i="11"/>
  <c r="AL104" i="11"/>
  <c r="AL24" i="11"/>
  <c r="AL114" i="11"/>
  <c r="AH114" i="11"/>
  <c r="AL39" i="11"/>
  <c r="AH39" i="11"/>
  <c r="AL44" i="11"/>
  <c r="AH44" i="11"/>
  <c r="AL46" i="11"/>
  <c r="AH14" i="11"/>
  <c r="AL125" i="11"/>
  <c r="AH47" i="11"/>
  <c r="AL135" i="11"/>
  <c r="AH135" i="11"/>
  <c r="AH46" i="11"/>
  <c r="AH92" i="11"/>
  <c r="AL92" i="11"/>
  <c r="AH120" i="11"/>
  <c r="AH79" i="11"/>
  <c r="AH43" i="11"/>
  <c r="AL15" i="11"/>
  <c r="AH15" i="11"/>
  <c r="AL3" i="11"/>
  <c r="AL29" i="11"/>
  <c r="AH69" i="11"/>
  <c r="AL47" i="11"/>
  <c r="AL33" i="11"/>
  <c r="AH33" i="11"/>
  <c r="AH21" i="11"/>
  <c r="AH75" i="11"/>
  <c r="AH125" i="11"/>
  <c r="AL7" i="11"/>
  <c r="AH7" i="11"/>
  <c r="AL41" i="11"/>
  <c r="AH41" i="11"/>
  <c r="AH26" i="11"/>
  <c r="AL43" i="11"/>
  <c r="AL141" i="11"/>
  <c r="AH141" i="11"/>
  <c r="AH62" i="11"/>
  <c r="AL110" i="11"/>
  <c r="AH110" i="11"/>
  <c r="AL20" i="11"/>
  <c r="AH20" i="11"/>
  <c r="AL121" i="11"/>
  <c r="AH121" i="11"/>
  <c r="AH48" i="11"/>
  <c r="AH24" i="11"/>
  <c r="AH156" i="11"/>
  <c r="AH134" i="11"/>
  <c r="AH4" i="11"/>
  <c r="AH100" i="11"/>
  <c r="AH115" i="11"/>
  <c r="AH155" i="11"/>
  <c r="AL155" i="11"/>
  <c r="AH111" i="11"/>
  <c r="AH99" i="11"/>
  <c r="AH66" i="11"/>
  <c r="AH36" i="11"/>
  <c r="AL36" i="11"/>
  <c r="AH109" i="11"/>
  <c r="AH19" i="11"/>
  <c r="AH127" i="11"/>
  <c r="AL127" i="11"/>
  <c r="AL70" i="11"/>
  <c r="AH70" i="11"/>
  <c r="AL86" i="11"/>
  <c r="AH95" i="11"/>
  <c r="AH22" i="11"/>
  <c r="AL66" i="11"/>
  <c r="AH63" i="11"/>
  <c r="AL63" i="11"/>
  <c r="AL77" i="11"/>
  <c r="AH73" i="11"/>
  <c r="AL62" i="11"/>
  <c r="AH78" i="11"/>
  <c r="AH35" i="11"/>
  <c r="AH123" i="11"/>
  <c r="AH30" i="11"/>
  <c r="AL78" i="11"/>
  <c r="AH25" i="11"/>
  <c r="AL25" i="11"/>
  <c r="AH102" i="11"/>
  <c r="AH64" i="11"/>
  <c r="AH31" i="11"/>
  <c r="AH27" i="11"/>
  <c r="AL27" i="11"/>
  <c r="AH83" i="11"/>
  <c r="AL31" i="11"/>
  <c r="AH108" i="11"/>
  <c r="AH23" i="11"/>
  <c r="AH8" i="11"/>
  <c r="AH150" i="11"/>
  <c r="AH51" i="11"/>
  <c r="AH106" i="11"/>
  <c r="H10" i="12" l="1"/>
  <c r="I10" i="12" s="1"/>
  <c r="AL85" i="11"/>
  <c r="AL52" i="11"/>
  <c r="AL32" i="11"/>
  <c r="AH72" i="11"/>
  <c r="AH144" i="11"/>
  <c r="AH55" i="11"/>
  <c r="AH12" i="11"/>
  <c r="AH101" i="11"/>
  <c r="AH129" i="11"/>
  <c r="AL89" i="11"/>
  <c r="AH146" i="11"/>
  <c r="AH122" i="11"/>
  <c r="AH80" i="11"/>
  <c r="AH151" i="11"/>
  <c r="AH97" i="11"/>
  <c r="AH54" i="11"/>
  <c r="AL132" i="11"/>
  <c r="AH60" i="11"/>
  <c r="AH38" i="11"/>
  <c r="AH58" i="11"/>
  <c r="AL124" i="11"/>
  <c r="AL13" i="11"/>
  <c r="AH71" i="11"/>
  <c r="AH98" i="11"/>
  <c r="AL149" i="11"/>
  <c r="AH93" i="11"/>
  <c r="AH81" i="11"/>
  <c r="AH139" i="11"/>
  <c r="AH53" i="11"/>
  <c r="AH61" i="11"/>
  <c r="AH57" i="11"/>
  <c r="AH50" i="11"/>
  <c r="AL82" i="11"/>
  <c r="AL126" i="11"/>
  <c r="AH42" i="11"/>
  <c r="AL113" i="11"/>
  <c r="AL131" i="11"/>
  <c r="AH142" i="11"/>
  <c r="AH18" i="11"/>
  <c r="AH59" i="11"/>
  <c r="AL94" i="11"/>
  <c r="AH68" i="11"/>
  <c r="AH105" i="11"/>
  <c r="AH67" i="11"/>
  <c r="AL153" i="11"/>
  <c r="AL96" i="11"/>
  <c r="AL84" i="11"/>
  <c r="AH17" i="11"/>
  <c r="AH65" i="11"/>
  <c r="AL76" i="11"/>
  <c r="K9" i="12" l="1"/>
  <c r="E9" i="12"/>
  <c r="G19" i="8" l="1"/>
  <c r="K12" i="12"/>
  <c r="AS17" i="11" l="1"/>
  <c r="AF8" i="6" l="1"/>
  <c r="Q28" i="12"/>
  <c r="K29" i="12" l="1"/>
  <c r="I64" i="8" l="1"/>
  <c r="J64" i="8" s="1"/>
  <c r="K64" i="8" l="1"/>
  <c r="I63" i="8" l="1"/>
  <c r="J63" i="8" s="1"/>
  <c r="Q2" i="8"/>
  <c r="K63" i="8" l="1"/>
  <c r="Q68" i="12"/>
  <c r="P68" i="12"/>
  <c r="O68" i="12"/>
  <c r="N68" i="12"/>
  <c r="Q48" i="12"/>
  <c r="P48" i="12"/>
  <c r="O48" i="12"/>
  <c r="N48" i="12"/>
  <c r="K25" i="12" l="1"/>
  <c r="K16" i="12"/>
  <c r="K15" i="12"/>
  <c r="K14" i="12"/>
  <c r="K19" i="12"/>
  <c r="K13" i="12"/>
  <c r="K30" i="12"/>
  <c r="K22" i="12"/>
  <c r="K26" i="12"/>
  <c r="K23" i="12"/>
  <c r="K24" i="12"/>
  <c r="I3" i="8"/>
  <c r="J3" i="8" s="1"/>
  <c r="P12" i="12" l="1"/>
  <c r="N67" i="12"/>
  <c r="N64" i="12"/>
  <c r="N56" i="12"/>
  <c r="O49" i="12"/>
  <c r="O42" i="12"/>
  <c r="Q39" i="12"/>
  <c r="Q35" i="12"/>
  <c r="Q33" i="12"/>
  <c r="Q24" i="12"/>
  <c r="Q21" i="12"/>
  <c r="Q15" i="12"/>
  <c r="P65" i="12"/>
  <c r="P61" i="12"/>
  <c r="N59" i="12"/>
  <c r="Q45" i="12"/>
  <c r="Q43" i="12"/>
  <c r="Q41" i="12"/>
  <c r="Q23" i="12"/>
  <c r="Q19" i="12"/>
  <c r="Q69" i="12"/>
  <c r="O65" i="12"/>
  <c r="O61" i="12"/>
  <c r="Q58" i="12"/>
  <c r="P45" i="12"/>
  <c r="P43" i="12"/>
  <c r="P41" i="12"/>
  <c r="N39" i="12"/>
  <c r="Q25" i="12"/>
  <c r="Q13" i="12"/>
  <c r="P69" i="12"/>
  <c r="N65" i="12"/>
  <c r="N61" i="12"/>
  <c r="N58" i="12"/>
  <c r="O45" i="12"/>
  <c r="O43" i="12"/>
  <c r="O41" i="12"/>
  <c r="Q36" i="12"/>
  <c r="Q34" i="12"/>
  <c r="Q32" i="12"/>
  <c r="P25" i="12"/>
  <c r="Q22" i="12"/>
  <c r="Q16" i="12"/>
  <c r="O69" i="12"/>
  <c r="Q64" i="12"/>
  <c r="Q62" i="12"/>
  <c r="Q56" i="12"/>
  <c r="Q54" i="12"/>
  <c r="Q52" i="12"/>
  <c r="N45" i="12"/>
  <c r="N43" i="12"/>
  <c r="N41" i="12"/>
  <c r="P36" i="12"/>
  <c r="P34" i="12"/>
  <c r="P16" i="12"/>
  <c r="Q12" i="12"/>
  <c r="O36" i="12"/>
  <c r="Q59" i="12"/>
  <c r="N34" i="12"/>
  <c r="N16" i="12"/>
  <c r="Q65" i="12"/>
  <c r="Q63" i="12"/>
  <c r="Q61" i="12"/>
  <c r="Q55" i="12"/>
  <c r="Q53" i="12"/>
  <c r="N49" i="12"/>
  <c r="P56" i="12"/>
  <c r="O34" i="12"/>
  <c r="O16" i="12"/>
  <c r="Q14" i="12"/>
  <c r="O56" i="12"/>
  <c r="N36" i="12"/>
  <c r="O25" i="12"/>
  <c r="P64" i="12"/>
  <c r="Q44" i="12"/>
  <c r="Q29" i="12"/>
  <c r="O64" i="12"/>
  <c r="N42" i="12"/>
  <c r="N69" i="12"/>
  <c r="Q49" i="12"/>
  <c r="Q42" i="12"/>
  <c r="N25" i="12"/>
  <c r="Q67" i="12"/>
  <c r="P49" i="12"/>
  <c r="P42" i="12"/>
  <c r="P21" i="12"/>
  <c r="P32" i="12"/>
  <c r="P52" i="12"/>
  <c r="K3" i="8"/>
  <c r="N32" i="12" l="1"/>
  <c r="O32" i="12"/>
  <c r="Q3" i="8" l="1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60" i="8"/>
  <c r="Q61" i="8"/>
  <c r="Q62" i="8"/>
  <c r="D75" i="9"/>
  <c r="D74" i="9"/>
  <c r="D73" i="9"/>
  <c r="D72" i="9"/>
  <c r="K18" i="12" l="1"/>
  <c r="K28" i="12"/>
  <c r="I4" i="8" l="1"/>
  <c r="J4" i="8" s="1"/>
  <c r="I5" i="8"/>
  <c r="J5" i="8" s="1"/>
  <c r="I6" i="8"/>
  <c r="J6" i="8" s="1"/>
  <c r="I7" i="8"/>
  <c r="J7" i="8" s="1"/>
  <c r="I8" i="8"/>
  <c r="J8" i="8" s="1"/>
  <c r="I9" i="8"/>
  <c r="J9" i="8" s="1"/>
  <c r="I10" i="8"/>
  <c r="J10" i="8" s="1"/>
  <c r="I11" i="8"/>
  <c r="J11" i="8" s="1"/>
  <c r="I12" i="8"/>
  <c r="J12" i="8" s="1"/>
  <c r="I13" i="8"/>
  <c r="J13" i="8" s="1"/>
  <c r="I14" i="8"/>
  <c r="J14" i="8" s="1"/>
  <c r="I15" i="8"/>
  <c r="J15" i="8" s="1"/>
  <c r="I16" i="8"/>
  <c r="J16" i="8" s="1"/>
  <c r="I17" i="8"/>
  <c r="J17" i="8" s="1"/>
  <c r="I18" i="8"/>
  <c r="J18" i="8" s="1"/>
  <c r="I19" i="8"/>
  <c r="J19" i="8" s="1"/>
  <c r="L19" i="8" s="1"/>
  <c r="I20" i="8"/>
  <c r="J20" i="8" s="1"/>
  <c r="I21" i="8"/>
  <c r="J21" i="8" s="1"/>
  <c r="I22" i="8"/>
  <c r="J22" i="8" s="1"/>
  <c r="I23" i="8"/>
  <c r="J23" i="8" s="1"/>
  <c r="I24" i="8"/>
  <c r="J24" i="8" s="1"/>
  <c r="I25" i="8"/>
  <c r="J25" i="8" s="1"/>
  <c r="I26" i="8"/>
  <c r="J26" i="8" s="1"/>
  <c r="I27" i="8"/>
  <c r="J27" i="8" s="1"/>
  <c r="I28" i="8"/>
  <c r="J28" i="8" s="1"/>
  <c r="I29" i="8"/>
  <c r="J29" i="8" s="1"/>
  <c r="I30" i="8"/>
  <c r="J30" i="8" s="1"/>
  <c r="I31" i="8"/>
  <c r="J31" i="8" s="1"/>
  <c r="I32" i="8"/>
  <c r="J32" i="8" s="1"/>
  <c r="I33" i="8"/>
  <c r="J33" i="8" s="1"/>
  <c r="I34" i="8"/>
  <c r="J34" i="8" s="1"/>
  <c r="I35" i="8"/>
  <c r="J35" i="8" s="1"/>
  <c r="I36" i="8"/>
  <c r="J36" i="8" s="1"/>
  <c r="I37" i="8"/>
  <c r="J37" i="8" s="1"/>
  <c r="I38" i="8"/>
  <c r="J38" i="8" s="1"/>
  <c r="I39" i="8"/>
  <c r="J39" i="8" s="1"/>
  <c r="I40" i="8"/>
  <c r="J40" i="8" s="1"/>
  <c r="I41" i="8"/>
  <c r="J41" i="8" s="1"/>
  <c r="I42" i="8"/>
  <c r="J42" i="8" s="1"/>
  <c r="I43" i="8"/>
  <c r="J43" i="8" s="1"/>
  <c r="I44" i="8"/>
  <c r="J44" i="8" s="1"/>
  <c r="I45" i="8"/>
  <c r="J45" i="8" s="1"/>
  <c r="I46" i="8"/>
  <c r="J46" i="8" s="1"/>
  <c r="I47" i="8"/>
  <c r="J47" i="8" s="1"/>
  <c r="I48" i="8"/>
  <c r="J48" i="8" s="1"/>
  <c r="I49" i="8"/>
  <c r="J49" i="8" s="1"/>
  <c r="I50" i="8"/>
  <c r="J50" i="8" s="1"/>
  <c r="I51" i="8"/>
  <c r="J51" i="8" s="1"/>
  <c r="I52" i="8"/>
  <c r="J52" i="8" s="1"/>
  <c r="I53" i="8"/>
  <c r="J53" i="8" s="1"/>
  <c r="I54" i="8"/>
  <c r="J54" i="8" s="1"/>
  <c r="I55" i="8"/>
  <c r="J55" i="8" s="1"/>
  <c r="I56" i="8"/>
  <c r="J56" i="8" s="1"/>
  <c r="I57" i="8"/>
  <c r="J57" i="8" s="1"/>
  <c r="I58" i="8"/>
  <c r="J58" i="8" s="1"/>
  <c r="I59" i="8"/>
  <c r="J59" i="8" s="1"/>
  <c r="I60" i="8"/>
  <c r="J60" i="8" s="1"/>
  <c r="I61" i="8"/>
  <c r="J61" i="8" s="1"/>
  <c r="I62" i="8"/>
  <c r="J62" i="8" s="1"/>
  <c r="K34" i="8" l="1"/>
  <c r="K11" i="8"/>
  <c r="K2" i="8"/>
  <c r="K41" i="8"/>
  <c r="K18" i="8"/>
  <c r="K53" i="8"/>
  <c r="K48" i="8"/>
  <c r="K26" i="8"/>
  <c r="K24" i="8"/>
  <c r="K17" i="8"/>
  <c r="K47" i="8"/>
  <c r="K44" i="8"/>
  <c r="K30" i="8"/>
  <c r="K22" i="8"/>
  <c r="K37" i="8"/>
  <c r="K15" i="8"/>
  <c r="K51" i="8"/>
  <c r="K7" i="8"/>
  <c r="K55" i="8"/>
  <c r="K62" i="8"/>
  <c r="K54" i="8"/>
  <c r="K40" i="8"/>
  <c r="K33" i="8"/>
  <c r="K25" i="8"/>
  <c r="K10" i="8"/>
  <c r="K61" i="8"/>
  <c r="K46" i="8"/>
  <c r="K39" i="8"/>
  <c r="K32" i="8"/>
  <c r="K16" i="8"/>
  <c r="K9" i="8"/>
  <c r="K60" i="8"/>
  <c r="K52" i="8"/>
  <c r="K45" i="8"/>
  <c r="K38" i="8"/>
  <c r="K31" i="8"/>
  <c r="K23" i="8"/>
  <c r="K8" i="8"/>
  <c r="K59" i="8"/>
  <c r="K58" i="8"/>
  <c r="K50" i="8"/>
  <c r="K43" i="8"/>
  <c r="K36" i="8"/>
  <c r="K29" i="8"/>
  <c r="K21" i="8"/>
  <c r="K14" i="8"/>
  <c r="K6" i="8"/>
  <c r="K57" i="8"/>
  <c r="K42" i="8"/>
  <c r="K35" i="8"/>
  <c r="K28" i="8"/>
  <c r="K20" i="8"/>
  <c r="K13" i="8"/>
  <c r="K5" i="8"/>
  <c r="K56" i="8"/>
  <c r="K49" i="8"/>
  <c r="K27" i="8"/>
  <c r="K19" i="8"/>
  <c r="K12" i="8"/>
  <c r="K4" i="8"/>
  <c r="G48" i="8"/>
  <c r="G44" i="8"/>
  <c r="G43" i="8"/>
  <c r="H12" i="12" l="1"/>
  <c r="I12" i="12" s="1"/>
  <c r="H11" i="12"/>
  <c r="I11" i="12" s="1"/>
  <c r="G7" i="8"/>
  <c r="Q37" i="12"/>
  <c r="W18" i="12"/>
  <c r="T15" i="12"/>
  <c r="Q38" i="12"/>
  <c r="P67" i="12"/>
  <c r="P46" i="12"/>
  <c r="Q27" i="12"/>
  <c r="Q46" i="12"/>
  <c r="T12" i="12"/>
  <c r="O67" i="12"/>
  <c r="N66" i="12"/>
  <c r="T14" i="12"/>
  <c r="U15" i="12"/>
  <c r="O46" i="12"/>
  <c r="T17" i="12"/>
  <c r="P58" i="12"/>
  <c r="Q66" i="12"/>
  <c r="N38" i="12"/>
  <c r="U14" i="12"/>
  <c r="N46" i="12"/>
  <c r="W15" i="12"/>
  <c r="Q57" i="12"/>
  <c r="T18" i="12"/>
  <c r="Q60" i="12"/>
  <c r="Q40" i="12"/>
  <c r="Q18" i="12"/>
  <c r="N47" i="12"/>
  <c r="U17" i="12"/>
  <c r="O58" i="12"/>
  <c r="O18" i="12"/>
  <c r="U12" i="12"/>
  <c r="U18" i="12"/>
  <c r="Q47" i="12"/>
  <c r="P38" i="12"/>
  <c r="Q31" i="12"/>
  <c r="O47" i="12"/>
  <c r="N18" i="12"/>
  <c r="O66" i="12"/>
  <c r="P66" i="12"/>
  <c r="O38" i="12"/>
  <c r="U11" i="12"/>
  <c r="P47" i="12"/>
  <c r="P18" i="12"/>
  <c r="Q51" i="12"/>
  <c r="G10" i="8"/>
  <c r="G13" i="8"/>
  <c r="G16" i="8"/>
  <c r="G20" i="8"/>
  <c r="G31" i="8"/>
  <c r="G24" i="8"/>
  <c r="G41" i="8"/>
  <c r="G22" i="8"/>
  <c r="G11" i="8"/>
  <c r="G25" i="8"/>
  <c r="G29" i="8"/>
  <c r="G18" i="8"/>
  <c r="G5" i="8"/>
  <c r="G9" i="8"/>
  <c r="G23" i="8"/>
  <c r="G42" i="8"/>
  <c r="G46" i="8"/>
  <c r="G54" i="8"/>
  <c r="G27" i="8"/>
  <c r="G34" i="8"/>
  <c r="G37" i="8"/>
  <c r="G36" i="8"/>
  <c r="G17" i="8"/>
  <c r="G52" i="8"/>
  <c r="G26" i="8"/>
  <c r="G49" i="8"/>
  <c r="G8" i="8"/>
  <c r="G21" i="8"/>
  <c r="G47" i="8"/>
  <c r="G55" i="8"/>
  <c r="G30" i="8"/>
  <c r="G15" i="8"/>
  <c r="G32" i="8"/>
  <c r="G35" i="8"/>
  <c r="G53" i="8"/>
  <c r="G33" i="8"/>
  <c r="G39" i="8"/>
  <c r="G14" i="8"/>
  <c r="G28" i="8"/>
  <c r="G56" i="8"/>
  <c r="G6" i="8"/>
  <c r="G12" i="8"/>
  <c r="G45" i="8"/>
  <c r="G50" i="8"/>
  <c r="G38" i="8"/>
  <c r="K21" i="12" l="1"/>
  <c r="K17" i="12"/>
  <c r="Q20" i="12"/>
  <c r="V12" i="12"/>
  <c r="V14" i="12"/>
  <c r="V18" i="12"/>
  <c r="V17" i="12"/>
  <c r="V15" i="12"/>
  <c r="K11" i="12"/>
  <c r="Q11" i="12"/>
  <c r="K27" i="12"/>
  <c r="Q26" i="12"/>
  <c r="T11" i="12"/>
  <c r="V11" i="12" s="1"/>
  <c r="Q17" i="12"/>
  <c r="K32" i="12" l="1"/>
  <c r="O52" i="12" l="1"/>
  <c r="O35" i="12" l="1"/>
  <c r="O40" i="12"/>
  <c r="O44" i="12"/>
  <c r="N52" i="12"/>
  <c r="O21" i="12"/>
  <c r="O12" i="12"/>
  <c r="N12" i="12" l="1"/>
  <c r="N21" i="12"/>
  <c r="P35" i="12" l="1"/>
  <c r="P44" i="12"/>
  <c r="P40" i="12"/>
  <c r="N35" i="12" l="1"/>
  <c r="N44" i="12"/>
  <c r="N40" i="12"/>
  <c r="O15" i="12" l="1"/>
  <c r="O39" i="12"/>
  <c r="O29" i="12"/>
  <c r="O22" i="12" l="1"/>
  <c r="O14" i="12"/>
  <c r="P15" i="12" l="1"/>
  <c r="P14" i="12"/>
  <c r="P39" i="12" l="1"/>
  <c r="N29" i="12"/>
  <c r="P29" i="12"/>
  <c r="N22" i="12"/>
  <c r="P22" i="12"/>
  <c r="N14" i="12"/>
  <c r="N15" i="12" l="1"/>
  <c r="O37" i="12" l="1"/>
  <c r="O54" i="12" l="1"/>
  <c r="O60" i="12"/>
  <c r="O59" i="12"/>
  <c r="O51" i="12"/>
  <c r="O31" i="12"/>
  <c r="O53" i="12"/>
  <c r="O33" i="12"/>
  <c r="P54" i="12" l="1"/>
  <c r="P63" i="12"/>
  <c r="P55" i="12"/>
  <c r="P62" i="12"/>
  <c r="N60" i="12"/>
  <c r="P60" i="12"/>
  <c r="P37" i="12"/>
  <c r="P59" i="12"/>
  <c r="P33" i="12"/>
  <c r="P31" i="12"/>
  <c r="N33" i="12" l="1"/>
  <c r="W14" i="12"/>
  <c r="N37" i="12"/>
  <c r="N31" i="12"/>
  <c r="E11" i="12"/>
  <c r="P13" i="12" l="1"/>
  <c r="P19" i="12"/>
  <c r="P23" i="12"/>
  <c r="P11" i="12"/>
  <c r="P20" i="12"/>
  <c r="P51" i="12"/>
  <c r="P53" i="12"/>
  <c r="N53" i="12" l="1"/>
  <c r="AD2" i="11" l="1"/>
  <c r="AE2" i="11" l="1"/>
  <c r="AI2" i="11" s="1"/>
  <c r="AJ2" i="11"/>
  <c r="AD8" i="6"/>
  <c r="AD7" i="6"/>
  <c r="AG7" i="6" s="1"/>
  <c r="AH7" i="6" s="1"/>
  <c r="AD154" i="11"/>
  <c r="L2" i="8"/>
  <c r="O57" i="12" s="1"/>
  <c r="L6" i="8"/>
  <c r="L7" i="8"/>
  <c r="L8" i="8"/>
  <c r="L9" i="8"/>
  <c r="L10" i="8"/>
  <c r="L11" i="8"/>
  <c r="L20" i="8"/>
  <c r="L21" i="8"/>
  <c r="AD128" i="11"/>
  <c r="AD90" i="11"/>
  <c r="AD117" i="11"/>
  <c r="AD40" i="11"/>
  <c r="AD7" i="11"/>
  <c r="AD110" i="11"/>
  <c r="AD132" i="11"/>
  <c r="AD79" i="11"/>
  <c r="AD114" i="11"/>
  <c r="AD156" i="11"/>
  <c r="AD53" i="11"/>
  <c r="AD112" i="11"/>
  <c r="AD80" i="11"/>
  <c r="AD55" i="11"/>
  <c r="AD23" i="11"/>
  <c r="AD102" i="11"/>
  <c r="AD125" i="11"/>
  <c r="AD144" i="11"/>
  <c r="AD153" i="11"/>
  <c r="AD15" i="11"/>
  <c r="AD98" i="11"/>
  <c r="AD65" i="11"/>
  <c r="AD129" i="11"/>
  <c r="AD38" i="11"/>
  <c r="AD87" i="11"/>
  <c r="AD66" i="11"/>
  <c r="AD64" i="11"/>
  <c r="AD67" i="11"/>
  <c r="AD134" i="11"/>
  <c r="AD52" i="11"/>
  <c r="AD69" i="11"/>
  <c r="L14" i="8"/>
  <c r="L15" i="8"/>
  <c r="L16" i="8"/>
  <c r="L17" i="8"/>
  <c r="L18" i="8"/>
  <c r="L27" i="8"/>
  <c r="L28" i="8"/>
  <c r="L29" i="8"/>
  <c r="AD133" i="11"/>
  <c r="AD56" i="11"/>
  <c r="AD11" i="11"/>
  <c r="AD105" i="11"/>
  <c r="AD95" i="11"/>
  <c r="AD36" i="11"/>
  <c r="AD82" i="11"/>
  <c r="AD84" i="11"/>
  <c r="AD12" i="11"/>
  <c r="AD30" i="11"/>
  <c r="AD119" i="11"/>
  <c r="AD135" i="11"/>
  <c r="AD39" i="11"/>
  <c r="AD109" i="11"/>
  <c r="AD74" i="11"/>
  <c r="AD21" i="11"/>
  <c r="AD24" i="11"/>
  <c r="AD96" i="11"/>
  <c r="AD10" i="11"/>
  <c r="AD63" i="11"/>
  <c r="AD28" i="11"/>
  <c r="AD33" i="11"/>
  <c r="AD45" i="11"/>
  <c r="AD116" i="11"/>
  <c r="L22" i="8"/>
  <c r="L23" i="8"/>
  <c r="L24" i="8"/>
  <c r="L25" i="8"/>
  <c r="L26" i="8"/>
  <c r="L35" i="8"/>
  <c r="L36" i="8"/>
  <c r="L37" i="8"/>
  <c r="AD118" i="11"/>
  <c r="AD88" i="11"/>
  <c r="AD6" i="11"/>
  <c r="AD104" i="11"/>
  <c r="AD61" i="11"/>
  <c r="AD121" i="11"/>
  <c r="AD48" i="11"/>
  <c r="AD99" i="11"/>
  <c r="AD122" i="11"/>
  <c r="AD146" i="11"/>
  <c r="AD62" i="11"/>
  <c r="AD29" i="11"/>
  <c r="AD35" i="11"/>
  <c r="AD25" i="11"/>
  <c r="AD141" i="11"/>
  <c r="AD73" i="11"/>
  <c r="AD111" i="11"/>
  <c r="AD58" i="11"/>
  <c r="AD8" i="11"/>
  <c r="AD47" i="11"/>
  <c r="AD13" i="11"/>
  <c r="L30" i="8"/>
  <c r="L31" i="8"/>
  <c r="L32" i="8"/>
  <c r="L33" i="8"/>
  <c r="L34" i="8"/>
  <c r="L43" i="8"/>
  <c r="L44" i="8"/>
  <c r="L45" i="8"/>
  <c r="AD140" i="11"/>
  <c r="AD138" i="11"/>
  <c r="AD16" i="11"/>
  <c r="AD103" i="11"/>
  <c r="AD139" i="11"/>
  <c r="AD108" i="11"/>
  <c r="AD17" i="11"/>
  <c r="AD123" i="11"/>
  <c r="AD14" i="11"/>
  <c r="AD126" i="11"/>
  <c r="AD60" i="11"/>
  <c r="AD43" i="11"/>
  <c r="AD151" i="11"/>
  <c r="AD42" i="11"/>
  <c r="AD76" i="11"/>
  <c r="AD50" i="11"/>
  <c r="AD149" i="11"/>
  <c r="AD26" i="11"/>
  <c r="AD27" i="11"/>
  <c r="AD22" i="11"/>
  <c r="AD120" i="11"/>
  <c r="AD4" i="11"/>
  <c r="AD44" i="11"/>
  <c r="AD72" i="11"/>
  <c r="AD86" i="11"/>
  <c r="L38" i="8"/>
  <c r="L39" i="8"/>
  <c r="L40" i="8"/>
  <c r="L41" i="8"/>
  <c r="L42" i="8"/>
  <c r="L51" i="8"/>
  <c r="L52" i="8"/>
  <c r="L53" i="8"/>
  <c r="AD145" i="11"/>
  <c r="AD107" i="11"/>
  <c r="AD136" i="11"/>
  <c r="AD77" i="11"/>
  <c r="AD18" i="11"/>
  <c r="AD19" i="11"/>
  <c r="AD155" i="11"/>
  <c r="AD37" i="11"/>
  <c r="AD94" i="11"/>
  <c r="AD93" i="11"/>
  <c r="AD70" i="11"/>
  <c r="AD57" i="11"/>
  <c r="AD115" i="11"/>
  <c r="AD71" i="11"/>
  <c r="AD113" i="11"/>
  <c r="L46" i="8"/>
  <c r="L47" i="8"/>
  <c r="L48" i="8"/>
  <c r="L49" i="8"/>
  <c r="L50" i="8"/>
  <c r="L59" i="8"/>
  <c r="L60" i="8"/>
  <c r="L61" i="8"/>
  <c r="AD147" i="11"/>
  <c r="AD68" i="11"/>
  <c r="AD34" i="11"/>
  <c r="AD127" i="11"/>
  <c r="AD59" i="11"/>
  <c r="AD31" i="11"/>
  <c r="AD51" i="11"/>
  <c r="AD41" i="11"/>
  <c r="AD106" i="11"/>
  <c r="AD32" i="11"/>
  <c r="AD150" i="11"/>
  <c r="AD97" i="11"/>
  <c r="L54" i="8"/>
  <c r="L55" i="8"/>
  <c r="L56" i="8"/>
  <c r="L57" i="8"/>
  <c r="L58" i="8"/>
  <c r="L4" i="8"/>
  <c r="L5" i="8"/>
  <c r="AD152" i="11"/>
  <c r="AD5" i="11"/>
  <c r="AD91" i="11"/>
  <c r="AD124" i="11"/>
  <c r="AD101" i="11"/>
  <c r="AD92" i="11"/>
  <c r="AD75" i="11"/>
  <c r="AD148" i="11"/>
  <c r="AD85" i="11"/>
  <c r="AD89" i="11"/>
  <c r="L62" i="8"/>
  <c r="L63" i="8"/>
  <c r="L64" i="8"/>
  <c r="L65" i="8"/>
  <c r="L3" i="8"/>
  <c r="L12" i="8"/>
  <c r="L13" i="8"/>
  <c r="AD143" i="11"/>
  <c r="AD130" i="11"/>
  <c r="AD9" i="11"/>
  <c r="AD49" i="11"/>
  <c r="AD78" i="11"/>
  <c r="AD131" i="11"/>
  <c r="AD46" i="11"/>
  <c r="AD100" i="11"/>
  <c r="AD3" i="11"/>
  <c r="AD142" i="11"/>
  <c r="AD83" i="11"/>
  <c r="AD54" i="11"/>
  <c r="AD20" i="11"/>
  <c r="AD81" i="11"/>
  <c r="AD137" i="11"/>
  <c r="AE137" i="11" l="1"/>
  <c r="AI137" i="11" s="1"/>
  <c r="AJ137" i="11"/>
  <c r="AE100" i="11"/>
  <c r="AI100" i="11" s="1"/>
  <c r="AJ100" i="11"/>
  <c r="AE143" i="11"/>
  <c r="AI143" i="11" s="1"/>
  <c r="AJ143" i="11"/>
  <c r="AJ89" i="11"/>
  <c r="AE89" i="11"/>
  <c r="AI89" i="11" s="1"/>
  <c r="AE5" i="11"/>
  <c r="AI5" i="11" s="1"/>
  <c r="AJ5" i="11"/>
  <c r="AE59" i="11"/>
  <c r="AI59" i="11" s="1"/>
  <c r="AJ59" i="11"/>
  <c r="AJ115" i="11"/>
  <c r="AE115" i="11"/>
  <c r="AI115" i="11" s="1"/>
  <c r="AE19" i="11"/>
  <c r="AI19" i="11" s="1"/>
  <c r="AJ19" i="11"/>
  <c r="AJ44" i="11"/>
  <c r="AE44" i="11"/>
  <c r="AI44" i="11" s="1"/>
  <c r="AE76" i="11"/>
  <c r="AI76" i="11" s="1"/>
  <c r="AJ76" i="11"/>
  <c r="AE17" i="11"/>
  <c r="AI17" i="11" s="1"/>
  <c r="AJ17" i="11"/>
  <c r="AE47" i="11"/>
  <c r="AI47" i="11" s="1"/>
  <c r="AJ47" i="11"/>
  <c r="AE29" i="11"/>
  <c r="AI29" i="11" s="1"/>
  <c r="AJ29" i="11"/>
  <c r="AE104" i="11"/>
  <c r="AI104" i="11" s="1"/>
  <c r="AJ104" i="11"/>
  <c r="AE63" i="11"/>
  <c r="AI63" i="11" s="1"/>
  <c r="AJ63" i="11"/>
  <c r="AE39" i="11"/>
  <c r="AI39" i="11" s="1"/>
  <c r="AJ39" i="11"/>
  <c r="AE82" i="11"/>
  <c r="AI82" i="11" s="1"/>
  <c r="AJ82" i="11"/>
  <c r="AE52" i="11"/>
  <c r="AI52" i="11" s="1"/>
  <c r="AJ52" i="11"/>
  <c r="AE65" i="11"/>
  <c r="AI65" i="11" s="1"/>
  <c r="AJ65" i="11"/>
  <c r="AJ23" i="11"/>
  <c r="AE23" i="11"/>
  <c r="AI23" i="11" s="1"/>
  <c r="AE114" i="11"/>
  <c r="AI114" i="11" s="1"/>
  <c r="AJ114" i="11"/>
  <c r="AE128" i="11"/>
  <c r="AI128" i="11" s="1"/>
  <c r="AJ128" i="11"/>
  <c r="AE142" i="11"/>
  <c r="AI142" i="11" s="1"/>
  <c r="AJ142" i="11"/>
  <c r="AE81" i="11"/>
  <c r="AI81" i="11" s="1"/>
  <c r="AJ81" i="11"/>
  <c r="AJ85" i="11"/>
  <c r="AE85" i="11"/>
  <c r="AI85" i="11" s="1"/>
  <c r="AE127" i="11"/>
  <c r="AI127" i="11" s="1"/>
  <c r="AJ127" i="11"/>
  <c r="AJ57" i="11"/>
  <c r="AE57" i="11"/>
  <c r="AI57" i="11" s="1"/>
  <c r="AE18" i="11"/>
  <c r="AI18" i="11" s="1"/>
  <c r="AJ18" i="11"/>
  <c r="AJ4" i="11"/>
  <c r="AE4" i="11"/>
  <c r="AI4" i="11" s="1"/>
  <c r="AE42" i="11"/>
  <c r="AI42" i="11" s="1"/>
  <c r="AJ42" i="11"/>
  <c r="AJ108" i="11"/>
  <c r="AE108" i="11"/>
  <c r="AI108" i="11" s="1"/>
  <c r="AJ8" i="11"/>
  <c r="AE8" i="11"/>
  <c r="AI8" i="11" s="1"/>
  <c r="AJ62" i="11"/>
  <c r="AE62" i="11"/>
  <c r="AI62" i="11" s="1"/>
  <c r="AE6" i="11"/>
  <c r="AI6" i="11" s="1"/>
  <c r="AJ6" i="11"/>
  <c r="AJ10" i="11"/>
  <c r="AE10" i="11"/>
  <c r="AI10" i="11" s="1"/>
  <c r="AE135" i="11"/>
  <c r="AI135" i="11" s="1"/>
  <c r="AJ135" i="11"/>
  <c r="AJ36" i="11"/>
  <c r="AE36" i="11"/>
  <c r="AI36" i="11" s="1"/>
  <c r="AE134" i="11"/>
  <c r="AI134" i="11" s="1"/>
  <c r="AJ134" i="11"/>
  <c r="AJ98" i="11"/>
  <c r="AE98" i="11"/>
  <c r="AI98" i="11" s="1"/>
  <c r="AE55" i="11"/>
  <c r="AI55" i="11" s="1"/>
  <c r="AJ55" i="11"/>
  <c r="AJ79" i="11"/>
  <c r="AE79" i="11"/>
  <c r="AI79" i="11" s="1"/>
  <c r="O17" i="12"/>
  <c r="AJ46" i="11"/>
  <c r="AE46" i="11"/>
  <c r="AI46" i="11" s="1"/>
  <c r="AJ150" i="11"/>
  <c r="AE150" i="11"/>
  <c r="AI150" i="11" s="1"/>
  <c r="AE34" i="11"/>
  <c r="AI34" i="11" s="1"/>
  <c r="AJ34" i="11"/>
  <c r="AJ70" i="11"/>
  <c r="AE70" i="11"/>
  <c r="AI70" i="11" s="1"/>
  <c r="AE77" i="11"/>
  <c r="AI77" i="11" s="1"/>
  <c r="AJ77" i="11"/>
  <c r="AE120" i="11"/>
  <c r="AI120" i="11" s="1"/>
  <c r="AJ120" i="11"/>
  <c r="AJ151" i="11"/>
  <c r="AE151" i="11"/>
  <c r="AI151" i="11" s="1"/>
  <c r="AE139" i="11"/>
  <c r="AI139" i="11" s="1"/>
  <c r="AJ139" i="11"/>
  <c r="AJ58" i="11"/>
  <c r="AE58" i="11"/>
  <c r="AI58" i="11" s="1"/>
  <c r="AJ146" i="11"/>
  <c r="AE146" i="11"/>
  <c r="AI146" i="11" s="1"/>
  <c r="AE88" i="11"/>
  <c r="AI88" i="11" s="1"/>
  <c r="AJ88" i="11"/>
  <c r="AJ119" i="11"/>
  <c r="AE119" i="11"/>
  <c r="AI119" i="11" s="1"/>
  <c r="AJ95" i="11"/>
  <c r="AE95" i="11"/>
  <c r="AI95" i="11" s="1"/>
  <c r="AE67" i="11"/>
  <c r="AI67" i="11" s="1"/>
  <c r="AJ67" i="11"/>
  <c r="AE132" i="11"/>
  <c r="AI132" i="11" s="1"/>
  <c r="AJ132" i="11"/>
  <c r="AE147" i="11"/>
  <c r="AI147" i="11" s="1"/>
  <c r="AJ147" i="11"/>
  <c r="AE152" i="11"/>
  <c r="AI152" i="11" s="1"/>
  <c r="AJ152" i="11"/>
  <c r="AJ97" i="11"/>
  <c r="AE97" i="11"/>
  <c r="AI97" i="11" s="1"/>
  <c r="AJ20" i="11"/>
  <c r="AE20" i="11"/>
  <c r="AI20" i="11" s="1"/>
  <c r="AJ148" i="11"/>
  <c r="AE148" i="11"/>
  <c r="AI148" i="11" s="1"/>
  <c r="AE54" i="11"/>
  <c r="AI54" i="11" s="1"/>
  <c r="AJ54" i="11"/>
  <c r="AE131" i="11"/>
  <c r="AI131" i="11" s="1"/>
  <c r="AJ131" i="11"/>
  <c r="AJ75" i="11"/>
  <c r="AE75" i="11"/>
  <c r="AI75" i="11" s="1"/>
  <c r="AJ32" i="11"/>
  <c r="AE32" i="11"/>
  <c r="AI32" i="11" s="1"/>
  <c r="AJ68" i="11"/>
  <c r="AE68" i="11"/>
  <c r="AI68" i="11" s="1"/>
  <c r="AE93" i="11"/>
  <c r="AI93" i="11" s="1"/>
  <c r="AJ93" i="11"/>
  <c r="AE136" i="11"/>
  <c r="AI136" i="11" s="1"/>
  <c r="AJ136" i="11"/>
  <c r="AE22" i="11"/>
  <c r="AI22" i="11" s="1"/>
  <c r="AJ22" i="11"/>
  <c r="AE43" i="11"/>
  <c r="AI43" i="11" s="1"/>
  <c r="AJ43" i="11"/>
  <c r="AE103" i="11"/>
  <c r="AI103" i="11" s="1"/>
  <c r="AJ103" i="11"/>
  <c r="AJ111" i="11"/>
  <c r="AE111" i="11"/>
  <c r="AI111" i="11" s="1"/>
  <c r="AE122" i="11"/>
  <c r="AI122" i="11" s="1"/>
  <c r="AJ122" i="11"/>
  <c r="AE118" i="11"/>
  <c r="AI118" i="11" s="1"/>
  <c r="AJ118" i="11"/>
  <c r="AE96" i="11"/>
  <c r="AI96" i="11" s="1"/>
  <c r="AJ96" i="11"/>
  <c r="AE30" i="11"/>
  <c r="AI30" i="11" s="1"/>
  <c r="AJ30" i="11"/>
  <c r="AE105" i="11"/>
  <c r="AI105" i="11" s="1"/>
  <c r="AJ105" i="11"/>
  <c r="AJ64" i="11"/>
  <c r="AE64" i="11"/>
  <c r="AI64" i="11" s="1"/>
  <c r="AE15" i="11"/>
  <c r="AI15" i="11" s="1"/>
  <c r="AJ15" i="11"/>
  <c r="AJ80" i="11"/>
  <c r="AE80" i="11"/>
  <c r="AI80" i="11" s="1"/>
  <c r="AE110" i="11"/>
  <c r="AI110" i="11" s="1"/>
  <c r="AJ110" i="11"/>
  <c r="AE78" i="11"/>
  <c r="AI78" i="11" s="1"/>
  <c r="AJ78" i="11"/>
  <c r="AJ106" i="11"/>
  <c r="AE106" i="11"/>
  <c r="AI106" i="11" s="1"/>
  <c r="AE94" i="11"/>
  <c r="AI94" i="11" s="1"/>
  <c r="AJ94" i="11"/>
  <c r="AE107" i="11"/>
  <c r="AI107" i="11" s="1"/>
  <c r="AJ107" i="11"/>
  <c r="AJ27" i="11"/>
  <c r="AE27" i="11"/>
  <c r="AI27" i="11" s="1"/>
  <c r="AE60" i="11"/>
  <c r="AI60" i="11" s="1"/>
  <c r="AJ60" i="11"/>
  <c r="AE16" i="11"/>
  <c r="AI16" i="11" s="1"/>
  <c r="AJ16" i="11"/>
  <c r="AJ73" i="11"/>
  <c r="AE73" i="11"/>
  <c r="AI73" i="11" s="1"/>
  <c r="AE99" i="11"/>
  <c r="AI99" i="11" s="1"/>
  <c r="AJ99" i="11"/>
  <c r="AE116" i="11"/>
  <c r="AI116" i="11" s="1"/>
  <c r="AJ116" i="11"/>
  <c r="AJ24" i="11"/>
  <c r="AE24" i="11"/>
  <c r="AI24" i="11" s="1"/>
  <c r="AE11" i="11"/>
  <c r="AI11" i="11" s="1"/>
  <c r="AJ11" i="11"/>
  <c r="AE66" i="11"/>
  <c r="AI66" i="11" s="1"/>
  <c r="AJ66" i="11"/>
  <c r="AE153" i="11"/>
  <c r="AI153" i="11" s="1"/>
  <c r="AJ153" i="11"/>
  <c r="AE112" i="11"/>
  <c r="AI112" i="11" s="1"/>
  <c r="AJ112" i="11"/>
  <c r="AE7" i="11"/>
  <c r="AI7" i="11" s="1"/>
  <c r="AJ7" i="11"/>
  <c r="AE154" i="11"/>
  <c r="AI154" i="11" s="1"/>
  <c r="AJ154" i="11"/>
  <c r="O26" i="12"/>
  <c r="AJ41" i="11"/>
  <c r="AE41" i="11"/>
  <c r="AI41" i="11" s="1"/>
  <c r="AE145" i="11"/>
  <c r="AI145" i="11" s="1"/>
  <c r="AJ145" i="11"/>
  <c r="AE26" i="11"/>
  <c r="AI26" i="11" s="1"/>
  <c r="AJ26" i="11"/>
  <c r="AJ126" i="11"/>
  <c r="AE126" i="11"/>
  <c r="AI126" i="11" s="1"/>
  <c r="AE138" i="11"/>
  <c r="AI138" i="11" s="1"/>
  <c r="AJ138" i="11"/>
  <c r="AE141" i="11"/>
  <c r="AI141" i="11" s="1"/>
  <c r="AJ141" i="11"/>
  <c r="AJ48" i="11"/>
  <c r="AE48" i="11"/>
  <c r="AI48" i="11" s="1"/>
  <c r="AJ45" i="11"/>
  <c r="AE45" i="11"/>
  <c r="AI45" i="11" s="1"/>
  <c r="AJ21" i="11"/>
  <c r="AE21" i="11"/>
  <c r="AI21" i="11" s="1"/>
  <c r="AJ12" i="11"/>
  <c r="AE12" i="11"/>
  <c r="AI12" i="11" s="1"/>
  <c r="AE56" i="11"/>
  <c r="AI56" i="11" s="1"/>
  <c r="AJ56" i="11"/>
  <c r="AE87" i="11"/>
  <c r="AI87" i="11" s="1"/>
  <c r="AJ87" i="11"/>
  <c r="AJ144" i="11"/>
  <c r="AE144" i="11"/>
  <c r="AI144" i="11" s="1"/>
  <c r="AE40" i="11"/>
  <c r="AI40" i="11" s="1"/>
  <c r="AJ40" i="11"/>
  <c r="AJ92" i="11"/>
  <c r="AE92" i="11"/>
  <c r="AI92" i="11" s="1"/>
  <c r="AE49" i="11"/>
  <c r="AI49" i="11" s="1"/>
  <c r="AJ49" i="11"/>
  <c r="AE101" i="11"/>
  <c r="AI101" i="11" s="1"/>
  <c r="AJ101" i="11"/>
  <c r="AJ3" i="11"/>
  <c r="AE3" i="11"/>
  <c r="AI3" i="11" s="1"/>
  <c r="AE9" i="11"/>
  <c r="AI9" i="11" s="1"/>
  <c r="AJ9" i="11"/>
  <c r="O27" i="12"/>
  <c r="AE124" i="11"/>
  <c r="AI124" i="11" s="1"/>
  <c r="AJ124" i="11"/>
  <c r="AE51" i="11"/>
  <c r="AI51" i="11" s="1"/>
  <c r="AJ51" i="11"/>
  <c r="AJ113" i="11"/>
  <c r="AE113" i="11"/>
  <c r="AI113" i="11" s="1"/>
  <c r="AJ37" i="11"/>
  <c r="AE37" i="11"/>
  <c r="AI37" i="11" s="1"/>
  <c r="AE86" i="11"/>
  <c r="AI86" i="11" s="1"/>
  <c r="AJ86" i="11"/>
  <c r="AE149" i="11"/>
  <c r="AI149" i="11" s="1"/>
  <c r="AJ149" i="11"/>
  <c r="AJ14" i="11"/>
  <c r="AE14" i="11"/>
  <c r="AI14" i="11" s="1"/>
  <c r="AE140" i="11"/>
  <c r="AI140" i="11" s="1"/>
  <c r="AJ140" i="11"/>
  <c r="AJ25" i="11"/>
  <c r="AE25" i="11"/>
  <c r="AI25" i="11" s="1"/>
  <c r="AJ121" i="11"/>
  <c r="AE121" i="11"/>
  <c r="AI121" i="11" s="1"/>
  <c r="AJ33" i="11"/>
  <c r="AE33" i="11"/>
  <c r="AI33" i="11" s="1"/>
  <c r="AJ74" i="11"/>
  <c r="AE74" i="11"/>
  <c r="AI74" i="11" s="1"/>
  <c r="AE133" i="11"/>
  <c r="AI133" i="11" s="1"/>
  <c r="AJ133" i="11"/>
  <c r="AJ38" i="11"/>
  <c r="AE38" i="11"/>
  <c r="AI38" i="11" s="1"/>
  <c r="AE125" i="11"/>
  <c r="AI125" i="11" s="1"/>
  <c r="AJ125" i="11"/>
  <c r="AE53" i="11"/>
  <c r="AI53" i="11" s="1"/>
  <c r="AJ53" i="11"/>
  <c r="AE117" i="11"/>
  <c r="AI117" i="11" s="1"/>
  <c r="AJ117" i="11"/>
  <c r="AE7" i="6"/>
  <c r="AJ83" i="11"/>
  <c r="AE83" i="11"/>
  <c r="AI83" i="11" s="1"/>
  <c r="AE130" i="11"/>
  <c r="AI130" i="11" s="1"/>
  <c r="AJ130" i="11"/>
  <c r="AE91" i="11"/>
  <c r="AI91" i="11" s="1"/>
  <c r="AJ91" i="11"/>
  <c r="AE31" i="11"/>
  <c r="AI31" i="11" s="1"/>
  <c r="AJ31" i="11"/>
  <c r="AJ71" i="11"/>
  <c r="AE71" i="11"/>
  <c r="AI71" i="11" s="1"/>
  <c r="AE155" i="11"/>
  <c r="AI155" i="11" s="1"/>
  <c r="AJ155" i="11"/>
  <c r="AJ72" i="11"/>
  <c r="AE72" i="11"/>
  <c r="AI72" i="11" s="1"/>
  <c r="AE50" i="11"/>
  <c r="AI50" i="11" s="1"/>
  <c r="AJ50" i="11"/>
  <c r="AE123" i="11"/>
  <c r="AI123" i="11" s="1"/>
  <c r="AJ123" i="11"/>
  <c r="AE13" i="11"/>
  <c r="AI13" i="11" s="1"/>
  <c r="AJ13" i="11"/>
  <c r="AJ35" i="11"/>
  <c r="AE35" i="11"/>
  <c r="AI35" i="11" s="1"/>
  <c r="AE61" i="11"/>
  <c r="AI61" i="11" s="1"/>
  <c r="AJ61" i="11"/>
  <c r="AJ28" i="11"/>
  <c r="AE28" i="11"/>
  <c r="AI28" i="11" s="1"/>
  <c r="AE109" i="11"/>
  <c r="AI109" i="11" s="1"/>
  <c r="AJ109" i="11"/>
  <c r="AJ84" i="11"/>
  <c r="AE84" i="11"/>
  <c r="AI84" i="11" s="1"/>
  <c r="AE69" i="11"/>
  <c r="AI69" i="11" s="1"/>
  <c r="AJ69" i="11"/>
  <c r="AE129" i="11"/>
  <c r="AI129" i="11" s="1"/>
  <c r="AJ129" i="11"/>
  <c r="AE102" i="11"/>
  <c r="AI102" i="11" s="1"/>
  <c r="AJ102" i="11"/>
  <c r="AE156" i="11"/>
  <c r="AI156" i="11" s="1"/>
  <c r="AJ156" i="11"/>
  <c r="AE90" i="11"/>
  <c r="AI90" i="11" s="1"/>
  <c r="AJ90" i="11"/>
  <c r="AE8" i="6"/>
  <c r="AG8" i="6"/>
  <c r="AH8" i="6" s="1"/>
  <c r="O13" i="12" l="1"/>
  <c r="O55" i="12"/>
  <c r="O24" i="12"/>
  <c r="O19" i="12"/>
  <c r="O62" i="12"/>
  <c r="O63" i="12"/>
  <c r="O23" i="12"/>
  <c r="O28" i="12"/>
  <c r="O11" i="12"/>
  <c r="O20" i="12"/>
  <c r="N13" i="12" l="1"/>
  <c r="N63" i="12"/>
  <c r="N23" i="12"/>
  <c r="N55" i="12"/>
  <c r="N24" i="12"/>
  <c r="N54" i="12" l="1"/>
  <c r="N19" i="12"/>
  <c r="P24" i="12"/>
  <c r="N62" i="12"/>
  <c r="O6" i="9" l="1"/>
  <c r="O5" i="9"/>
  <c r="M19" i="8" l="1"/>
  <c r="O19" i="8" s="1"/>
  <c r="AK128" i="11"/>
  <c r="AN128" i="11" s="1"/>
  <c r="AK56" i="11"/>
  <c r="AN56" i="11" s="1"/>
  <c r="AK153" i="11"/>
  <c r="AN153" i="11" s="1"/>
  <c r="M2" i="8"/>
  <c r="O2" i="9" l="1"/>
  <c r="P57" i="12"/>
  <c r="O2" i="8"/>
  <c r="N51" i="12" l="1"/>
  <c r="N57" i="12"/>
  <c r="W17" i="12"/>
  <c r="M63" i="8"/>
  <c r="M36" i="8"/>
  <c r="O36" i="8" s="1"/>
  <c r="M44" i="8"/>
  <c r="O44" i="8" s="1"/>
  <c r="M28" i="8"/>
  <c r="O28" i="8" s="1"/>
  <c r="M25" i="8"/>
  <c r="O25" i="8" s="1"/>
  <c r="M11" i="8"/>
  <c r="O11" i="8" s="1"/>
  <c r="M17" i="8"/>
  <c r="O17" i="8" s="1"/>
  <c r="M54" i="8"/>
  <c r="O54" i="8" s="1"/>
  <c r="M8" i="8"/>
  <c r="O8" i="8" s="1"/>
  <c r="M23" i="8"/>
  <c r="O23" i="8" s="1"/>
  <c r="M16" i="8"/>
  <c r="O16" i="8" s="1"/>
  <c r="M58" i="8"/>
  <c r="O58" i="8" s="1"/>
  <c r="M32" i="8"/>
  <c r="O32" i="8" s="1"/>
  <c r="M60" i="8"/>
  <c r="O60" i="8" s="1"/>
  <c r="M27" i="8"/>
  <c r="O27" i="8" s="1"/>
  <c r="AK149" i="11"/>
  <c r="AN149" i="11" s="1"/>
  <c r="AK34" i="11"/>
  <c r="AN34" i="11" s="1"/>
  <c r="AK116" i="11"/>
  <c r="AN116" i="11" s="1"/>
  <c r="AK23" i="11"/>
  <c r="AN23" i="11" s="1"/>
  <c r="AK90" i="11"/>
  <c r="AN90" i="11" s="1"/>
  <c r="AK105" i="11"/>
  <c r="AN105" i="11" s="1"/>
  <c r="AK85" i="11"/>
  <c r="AN85" i="11" s="1"/>
  <c r="AK37" i="11"/>
  <c r="AN37" i="11" s="1"/>
  <c r="AK77" i="11"/>
  <c r="AN77" i="11" s="1"/>
  <c r="AK11" i="11"/>
  <c r="AN11" i="11" s="1"/>
  <c r="AK66" i="11"/>
  <c r="AN66" i="11" s="1"/>
  <c r="AK94" i="11"/>
  <c r="AN94" i="11" s="1"/>
  <c r="M55" i="8"/>
  <c r="O55" i="8" s="1"/>
  <c r="M10" i="8"/>
  <c r="O10" i="8" s="1"/>
  <c r="M59" i="8"/>
  <c r="O59" i="8" s="1"/>
  <c r="M50" i="8"/>
  <c r="O50" i="8" s="1"/>
  <c r="M42" i="8"/>
  <c r="O42" i="8" s="1"/>
  <c r="M40" i="8"/>
  <c r="O40" i="8" s="1"/>
  <c r="M43" i="8"/>
  <c r="O43" i="8" s="1"/>
  <c r="M12" i="8"/>
  <c r="O12" i="8" s="1"/>
  <c r="M24" i="8"/>
  <c r="O24" i="8" s="1"/>
  <c r="M4" i="8"/>
  <c r="O4" i="8" s="1"/>
  <c r="M13" i="8"/>
  <c r="O13" i="8" s="1"/>
  <c r="M5" i="8"/>
  <c r="O5" i="8" s="1"/>
  <c r="M38" i="8"/>
  <c r="O38" i="8" s="1"/>
  <c r="M6" i="8"/>
  <c r="O6" i="8" s="1"/>
  <c r="M45" i="8"/>
  <c r="O45" i="8" s="1"/>
  <c r="AK42" i="11"/>
  <c r="AN42" i="11" s="1"/>
  <c r="AK73" i="11"/>
  <c r="AN73" i="11" s="1"/>
  <c r="AK120" i="11"/>
  <c r="AN120" i="11" s="1"/>
  <c r="AK35" i="11"/>
  <c r="AN35" i="11" s="1"/>
  <c r="AK113" i="11"/>
  <c r="AN113" i="11" s="1"/>
  <c r="AK107" i="11"/>
  <c r="AN107" i="11" s="1"/>
  <c r="AK114" i="11"/>
  <c r="AN114" i="11" s="1"/>
  <c r="AK60" i="11"/>
  <c r="AN60" i="11" s="1"/>
  <c r="AK89" i="11"/>
  <c r="AN89" i="11" s="1"/>
  <c r="AK121" i="11"/>
  <c r="AN121" i="11" s="1"/>
  <c r="AK15" i="11"/>
  <c r="AN15" i="11" s="1"/>
  <c r="AK142" i="11"/>
  <c r="AN142" i="11" s="1"/>
  <c r="AK27" i="11"/>
  <c r="AN27" i="11" s="1"/>
  <c r="M22" i="8"/>
  <c r="O22" i="8" s="1"/>
  <c r="M26" i="8"/>
  <c r="O26" i="8" s="1"/>
  <c r="M14" i="8"/>
  <c r="O14" i="8" s="1"/>
  <c r="M18" i="8"/>
  <c r="O18" i="8" s="1"/>
  <c r="M21" i="8"/>
  <c r="O21" i="8" s="1"/>
  <c r="M9" i="8"/>
  <c r="O9" i="8" s="1"/>
  <c r="M62" i="8"/>
  <c r="O62" i="8" s="1"/>
  <c r="M64" i="8"/>
  <c r="O64" i="8" s="1"/>
  <c r="M47" i="8"/>
  <c r="O47" i="8" s="1"/>
  <c r="M65" i="8"/>
  <c r="O65" i="8" s="1"/>
  <c r="AK26" i="11"/>
  <c r="AN26" i="11" s="1"/>
  <c r="M57" i="8"/>
  <c r="M49" i="8"/>
  <c r="O49" i="8" s="1"/>
  <c r="M48" i="8"/>
  <c r="O48" i="8" s="1"/>
  <c r="M51" i="8"/>
  <c r="O51" i="8" s="1"/>
  <c r="AK152" i="11"/>
  <c r="AN152" i="11" s="1"/>
  <c r="AK101" i="11"/>
  <c r="AN101" i="11" s="1"/>
  <c r="AK53" i="11"/>
  <c r="AN53" i="11" s="1"/>
  <c r="AK124" i="11"/>
  <c r="AN124" i="11" s="1"/>
  <c r="AK156" i="11"/>
  <c r="AN156" i="11" s="1"/>
  <c r="AK45" i="11"/>
  <c r="AN45" i="11" s="1"/>
  <c r="AK115" i="11"/>
  <c r="AN115" i="11" s="1"/>
  <c r="AK3" i="11"/>
  <c r="AN3" i="11" s="1"/>
  <c r="AK75" i="11"/>
  <c r="AN75" i="11" s="1"/>
  <c r="AK84" i="11"/>
  <c r="AN84" i="11" s="1"/>
  <c r="AK99" i="11"/>
  <c r="AN99" i="11" s="1"/>
  <c r="AK63" i="11"/>
  <c r="AN63" i="11" s="1"/>
  <c r="AK21" i="11"/>
  <c r="AN21" i="11" s="1"/>
  <c r="AK57" i="11"/>
  <c r="AN57" i="11" s="1"/>
  <c r="AK32" i="11"/>
  <c r="AN32" i="11" s="1"/>
  <c r="AK20" i="11"/>
  <c r="AN20" i="11" s="1"/>
  <c r="AK139" i="11"/>
  <c r="AN139" i="11" s="1"/>
  <c r="AK137" i="11"/>
  <c r="AN137" i="11" s="1"/>
  <c r="AK93" i="11"/>
  <c r="AN93" i="11" s="1"/>
  <c r="AK12" i="11"/>
  <c r="AN12" i="11" s="1"/>
  <c r="AK134" i="11"/>
  <c r="AN134" i="11" s="1"/>
  <c r="AK40" i="11"/>
  <c r="AN40" i="11" s="1"/>
  <c r="AK100" i="11"/>
  <c r="AN100" i="11" s="1"/>
  <c r="AK41" i="11"/>
  <c r="AN41" i="11" s="1"/>
  <c r="AK54" i="11"/>
  <c r="AN54" i="11" s="1"/>
  <c r="AK111" i="11"/>
  <c r="AN111" i="11" s="1"/>
  <c r="AK110" i="11"/>
  <c r="AN110" i="11" s="1"/>
  <c r="AK65" i="11"/>
  <c r="AN65" i="11" s="1"/>
  <c r="AK50" i="11"/>
  <c r="AN50" i="11" s="1"/>
  <c r="AK144" i="11"/>
  <c r="AN144" i="11" s="1"/>
  <c r="AK59" i="11"/>
  <c r="AN59" i="11" s="1"/>
  <c r="AK141" i="11"/>
  <c r="AN141" i="11" s="1"/>
  <c r="AK108" i="11"/>
  <c r="AN108" i="11" s="1"/>
  <c r="AK72" i="11"/>
  <c r="AN72" i="11" s="1"/>
  <c r="AK131" i="11"/>
  <c r="AN131" i="11" s="1"/>
  <c r="AK117" i="11"/>
  <c r="AN117" i="11" s="1"/>
  <c r="AK19" i="11"/>
  <c r="AN19" i="11" s="1"/>
  <c r="AK69" i="11"/>
  <c r="AN69" i="11" s="1"/>
  <c r="AK30" i="11"/>
  <c r="AN30" i="11" s="1"/>
  <c r="AK125" i="11"/>
  <c r="AN125" i="11" s="1"/>
  <c r="AK155" i="11"/>
  <c r="AN155" i="11" s="1"/>
  <c r="M34" i="8"/>
  <c r="O34" i="8" s="1"/>
  <c r="M56" i="8"/>
  <c r="O56" i="8" s="1"/>
  <c r="AK83" i="11"/>
  <c r="AN83" i="11" s="1"/>
  <c r="AK46" i="11"/>
  <c r="AN46" i="11" s="1"/>
  <c r="AK80" i="11"/>
  <c r="AN80" i="11" s="1"/>
  <c r="AK154" i="11"/>
  <c r="AN154" i="11" s="1"/>
  <c r="AK71" i="11"/>
  <c r="AN71" i="11" s="1"/>
  <c r="AK2" i="11"/>
  <c r="AN2" i="11" s="1"/>
  <c r="AK123" i="11"/>
  <c r="AN123" i="11" s="1"/>
  <c r="AK64" i="11"/>
  <c r="AN64" i="11" s="1"/>
  <c r="AK76" i="11"/>
  <c r="AN76" i="11" s="1"/>
  <c r="AK150" i="11"/>
  <c r="AN150" i="11" s="1"/>
  <c r="AK70" i="11"/>
  <c r="AN70" i="11" s="1"/>
  <c r="M29" i="8"/>
  <c r="O29" i="8" s="1"/>
  <c r="M61" i="8"/>
  <c r="O61" i="8" s="1"/>
  <c r="M7" i="8"/>
  <c r="O7" i="8" s="1"/>
  <c r="AK51" i="11"/>
  <c r="AN51" i="11" s="1"/>
  <c r="AK87" i="11"/>
  <c r="AN87" i="11" s="1"/>
  <c r="AK16" i="11"/>
  <c r="AN16" i="11" s="1"/>
  <c r="AK126" i="11"/>
  <c r="AN126" i="11" s="1"/>
  <c r="AK61" i="11"/>
  <c r="AN61" i="11" s="1"/>
  <c r="AK39" i="11"/>
  <c r="AN39" i="11" s="1"/>
  <c r="AK79" i="11"/>
  <c r="AN79" i="11" s="1"/>
  <c r="M46" i="8"/>
  <c r="O46" i="8" s="1"/>
  <c r="M15" i="8"/>
  <c r="O15" i="8" s="1"/>
  <c r="M35" i="8"/>
  <c r="O35" i="8" s="1"/>
  <c r="AK24" i="11"/>
  <c r="AN24" i="11" s="1"/>
  <c r="M33" i="8"/>
  <c r="O33" i="8" s="1"/>
  <c r="AK31" i="11"/>
  <c r="AN31" i="11" s="1"/>
  <c r="AK133" i="11"/>
  <c r="AN133" i="11" s="1"/>
  <c r="AK10" i="11"/>
  <c r="AN10" i="11" s="1"/>
  <c r="M20" i="8"/>
  <c r="O20" i="8" s="1"/>
  <c r="M39" i="8"/>
  <c r="O39" i="8" s="1"/>
  <c r="M53" i="8"/>
  <c r="O53" i="8" s="1"/>
  <c r="AK62" i="11"/>
  <c r="AN62" i="11" s="1"/>
  <c r="AK127" i="11"/>
  <c r="AN127" i="11" s="1"/>
  <c r="AK55" i="11"/>
  <c r="AN55" i="11" s="1"/>
  <c r="AK92" i="11"/>
  <c r="AN92" i="11" s="1"/>
  <c r="AK48" i="11"/>
  <c r="AN48" i="11" s="1"/>
  <c r="M3" i="8"/>
  <c r="AK138" i="11"/>
  <c r="AN138" i="11" s="1"/>
  <c r="AK44" i="11"/>
  <c r="AN44" i="11" s="1"/>
  <c r="AK109" i="11"/>
  <c r="AN109" i="11" s="1"/>
  <c r="AK22" i="11"/>
  <c r="AN22" i="11" s="1"/>
  <c r="AK29" i="11"/>
  <c r="AN29" i="11" s="1"/>
  <c r="AK96" i="11"/>
  <c r="AN96" i="11" s="1"/>
  <c r="AK7" i="11"/>
  <c r="AN7" i="11" s="1"/>
  <c r="AI8" i="6"/>
  <c r="AJ8" i="6" s="1"/>
  <c r="AK97" i="11"/>
  <c r="AN97" i="11" s="1"/>
  <c r="AK43" i="11"/>
  <c r="AN43" i="11" s="1"/>
  <c r="AK147" i="11"/>
  <c r="AN147" i="11" s="1"/>
  <c r="AK5" i="11"/>
  <c r="AN5" i="11" s="1"/>
  <c r="AK103" i="11"/>
  <c r="AN103" i="11" s="1"/>
  <c r="AK78" i="11"/>
  <c r="AN78" i="11" s="1"/>
  <c r="AK148" i="11"/>
  <c r="AN148" i="11" s="1"/>
  <c r="AK151" i="11"/>
  <c r="AN151" i="11" s="1"/>
  <c r="AK49" i="11"/>
  <c r="AN49" i="11" s="1"/>
  <c r="AK143" i="11"/>
  <c r="AN143" i="11" s="1"/>
  <c r="AK9" i="11"/>
  <c r="AN9" i="11" s="1"/>
  <c r="AK119" i="11"/>
  <c r="AN119" i="11" s="1"/>
  <c r="AK140" i="11"/>
  <c r="AN140" i="11" s="1"/>
  <c r="AK17" i="11"/>
  <c r="AN17" i="11" s="1"/>
  <c r="AK88" i="11"/>
  <c r="AN88" i="11" s="1"/>
  <c r="AK8" i="11"/>
  <c r="AN8" i="11" s="1"/>
  <c r="AK14" i="11"/>
  <c r="AN14" i="11" s="1"/>
  <c r="M37" i="8"/>
  <c r="O37" i="8" s="1"/>
  <c r="AK145" i="11"/>
  <c r="AN145" i="11" s="1"/>
  <c r="AI7" i="6"/>
  <c r="AK4" i="11"/>
  <c r="AN4" i="11" s="1"/>
  <c r="AK36" i="11"/>
  <c r="AN36" i="11" s="1"/>
  <c r="M30" i="8"/>
  <c r="O30" i="8" s="1"/>
  <c r="AK98" i="11"/>
  <c r="AN98" i="11" s="1"/>
  <c r="AK102" i="11"/>
  <c r="AN102" i="11" s="1"/>
  <c r="AK33" i="11"/>
  <c r="AN33" i="11" s="1"/>
  <c r="M41" i="8"/>
  <c r="O41" i="8" s="1"/>
  <c r="M52" i="8"/>
  <c r="O52" i="8" s="1"/>
  <c r="M31" i="8"/>
  <c r="O31" i="8" s="1"/>
  <c r="AK74" i="11"/>
  <c r="AN74" i="11" s="1"/>
  <c r="AK122" i="11"/>
  <c r="AN122" i="11" s="1"/>
  <c r="AK82" i="11"/>
  <c r="AN82" i="11" s="1"/>
  <c r="AK135" i="11"/>
  <c r="AN135" i="11" s="1"/>
  <c r="AK130" i="11"/>
  <c r="AN130" i="11" s="1"/>
  <c r="AK52" i="11"/>
  <c r="AN52" i="11" s="1"/>
  <c r="AK91" i="11"/>
  <c r="AN91" i="11" s="1"/>
  <c r="AK18" i="11"/>
  <c r="AN18" i="11" s="1"/>
  <c r="AK13" i="11"/>
  <c r="AN13" i="11" s="1"/>
  <c r="AK106" i="11"/>
  <c r="AN106" i="11" s="1"/>
  <c r="AK118" i="11"/>
  <c r="AN118" i="11" s="1"/>
  <c r="AK95" i="11"/>
  <c r="AN95" i="11" s="1"/>
  <c r="AK104" i="11"/>
  <c r="AN104" i="11" s="1"/>
  <c r="AK25" i="11"/>
  <c r="AN25" i="11" s="1"/>
  <c r="E12" i="12" s="1"/>
  <c r="AK81" i="11"/>
  <c r="AN81" i="11" s="1"/>
  <c r="AK129" i="11"/>
  <c r="AN129" i="11" s="1"/>
  <c r="AK136" i="11"/>
  <c r="AN136" i="11" s="1"/>
  <c r="AK86" i="11"/>
  <c r="AN86" i="11" s="1"/>
  <c r="AK146" i="11"/>
  <c r="AN146" i="11" s="1"/>
  <c r="AK68" i="11"/>
  <c r="AN68" i="11" s="1"/>
  <c r="AK28" i="11"/>
  <c r="AN28" i="11" s="1"/>
  <c r="AK132" i="11"/>
  <c r="AN132" i="11" s="1"/>
  <c r="AK47" i="11"/>
  <c r="AN47" i="11" s="1"/>
  <c r="AK6" i="11"/>
  <c r="AN6" i="11" s="1"/>
  <c r="AK38" i="11"/>
  <c r="AN38" i="11" s="1"/>
  <c r="AK67" i="11"/>
  <c r="AN67" i="11" s="1"/>
  <c r="AK112" i="11"/>
  <c r="AN112" i="11" s="1"/>
  <c r="AK58" i="11"/>
  <c r="AN58" i="11" s="1"/>
  <c r="P28" i="12" l="1"/>
  <c r="AJ7" i="6"/>
  <c r="P26" i="12"/>
  <c r="O57" i="8"/>
  <c r="O63" i="8"/>
  <c r="P27" i="12"/>
  <c r="P17" i="12"/>
  <c r="O3" i="8"/>
  <c r="B3" i="12"/>
  <c r="E10" i="12" l="1"/>
  <c r="B4" i="12"/>
  <c r="K10" i="12"/>
  <c r="N27" i="12"/>
  <c r="W12" i="12"/>
  <c r="K20" i="12"/>
  <c r="N26" i="12"/>
  <c r="N20" i="12"/>
  <c r="B2" i="12"/>
  <c r="N28" i="12"/>
  <c r="N11" i="12"/>
  <c r="N17" i="12"/>
  <c r="W11" i="12"/>
  <c r="K31" i="12" l="1"/>
  <c r="B5" i="12"/>
  <c r="C2" i="12" s="1"/>
  <c r="B10" i="12" l="1"/>
  <c r="C4" i="12"/>
  <c r="C3" i="12"/>
</calcChain>
</file>

<file path=xl/sharedStrings.xml><?xml version="1.0" encoding="utf-8"?>
<sst xmlns="http://schemas.openxmlformats.org/spreadsheetml/2006/main" count="1921" uniqueCount="176">
  <si>
    <t>Cartera</t>
  </si>
  <si>
    <t>PE Calls</t>
  </si>
  <si>
    <t>PE Otros</t>
  </si>
  <si>
    <t>PE Saldos No Util</t>
  </si>
  <si>
    <t>Unidades expresión</t>
  </si>
  <si>
    <t>TOTAL PE</t>
  </si>
  <si>
    <t>CUADRO A</t>
  </si>
  <si>
    <t>CUADRO B</t>
  </si>
  <si>
    <t>CUADRO C</t>
  </si>
  <si>
    <t>CUADRO D</t>
  </si>
  <si>
    <t>CUADRO E</t>
  </si>
  <si>
    <t>CUADRO F</t>
  </si>
  <si>
    <t>Montos de previsiones (en millones de $)</t>
  </si>
  <si>
    <t>Monto al</t>
  </si>
  <si>
    <t>Monto de previsiones (PCE) abiertas por stages (en millones de $)</t>
  </si>
  <si>
    <t>Monto PCE al</t>
  </si>
  <si>
    <t>Monto de las exposiciones totales (EAD) abiertas por stages (en millones de $)</t>
  </si>
  <si>
    <t>Monto exposiciones (EAD) al</t>
  </si>
  <si>
    <t>Monto de PCE y EAD abiertas por stage y segmento (en millones de $)
Carteras/Segmentos (*)</t>
  </si>
  <si>
    <t>Integrar el total de PCE y los parámetros aplicados para cada segmento definido por la entidad (en millones de $)
Cartera-Segmento (*)\Concepto</t>
  </si>
  <si>
    <t xml:space="preserve">Monto PCE </t>
  </si>
  <si>
    <t>% PD media (**)</t>
  </si>
  <si>
    <t>% LGD media (**)</t>
  </si>
  <si>
    <t xml:space="preserve">Monto EAD </t>
  </si>
  <si>
    <t>Partidas fuera de balance (*)
(en millones de $)</t>
  </si>
  <si>
    <t>Saldo contable PFB</t>
  </si>
  <si>
    <t>CCF (%)</t>
  </si>
  <si>
    <t>Monto Exposición (EAD)</t>
  </si>
  <si>
    <t>Monto</t>
  </si>
  <si>
    <t>PCE</t>
  </si>
  <si>
    <t>Previsiones totales según NIIF 9 (PCE)</t>
  </si>
  <si>
    <t>Stage 1</t>
  </si>
  <si>
    <t>PCE Cartera minorista</t>
  </si>
  <si>
    <t>Previsiones regulatorias contabilizadas</t>
  </si>
  <si>
    <t>Stage 2</t>
  </si>
  <si>
    <t>EAD Cartera minorista</t>
  </si>
  <si>
    <t>Cartera Minorista</t>
  </si>
  <si>
    <t>Saldo no utilizado TC</t>
  </si>
  <si>
    <t>Stage 3</t>
  </si>
  <si>
    <t>Tarjetas_de_Crédito</t>
  </si>
  <si>
    <t>Saldo no utilizado ACC</t>
  </si>
  <si>
    <t>Prestamos Personales</t>
  </si>
  <si>
    <t>Prestamos a Sola Firma</t>
  </si>
  <si>
    <t>ACC</t>
  </si>
  <si>
    <t>Documentos descontados</t>
  </si>
  <si>
    <t>Otros</t>
  </si>
  <si>
    <t>PCE Cartera mayorista</t>
  </si>
  <si>
    <t>Cartera Mayorista</t>
  </si>
  <si>
    <t>EAD Cartera mayorista</t>
  </si>
  <si>
    <t>Call Financiero</t>
  </si>
  <si>
    <t>PCE Total</t>
  </si>
  <si>
    <t>EAD Total</t>
  </si>
  <si>
    <t>BCRubr</t>
  </si>
  <si>
    <t>BCMda</t>
  </si>
  <si>
    <t>BCCta</t>
  </si>
  <si>
    <t>BCOper</t>
  </si>
  <si>
    <t>BCSbOp</t>
  </si>
  <si>
    <t>BCFech</t>
  </si>
  <si>
    <t>BCFVto</t>
  </si>
  <si>
    <t>BCFVal</t>
  </si>
  <si>
    <t>BCPlaz</t>
  </si>
  <si>
    <t>BCTTasa</t>
  </si>
  <si>
    <t>BCTasa</t>
  </si>
  <si>
    <t>BCResi</t>
  </si>
  <si>
    <t>BCCate</t>
  </si>
  <si>
    <t>BCActi</t>
  </si>
  <si>
    <t>BCTiCu</t>
  </si>
  <si>
    <t>BCFAtr</t>
  </si>
  <si>
    <t>BCSdOr</t>
  </si>
  <si>
    <t>BCSdMN</t>
  </si>
  <si>
    <t>BCSdUS</t>
  </si>
  <si>
    <t>BCSdMO</t>
  </si>
  <si>
    <t>BCInt</t>
  </si>
  <si>
    <t>BCPrev</t>
  </si>
  <si>
    <t>BCCate sin esp</t>
  </si>
  <si>
    <t>Situación BCRA</t>
  </si>
  <si>
    <t>rubros_considerados</t>
  </si>
  <si>
    <t>rubros_considerados_2</t>
  </si>
  <si>
    <t>Deuda+int</t>
  </si>
  <si>
    <t>PD</t>
  </si>
  <si>
    <t>PD_diaria</t>
  </si>
  <si>
    <t>Plazo1</t>
  </si>
  <si>
    <t>Plazo2</t>
  </si>
  <si>
    <t>Min(Plazo;365)</t>
  </si>
  <si>
    <t>Plazo Prom</t>
  </si>
  <si>
    <t>PD o 100%</t>
  </si>
  <si>
    <t>LGD</t>
  </si>
  <si>
    <t>Stage</t>
  </si>
  <si>
    <t>EAD</t>
  </si>
  <si>
    <t>PE</t>
  </si>
  <si>
    <t>Producto</t>
  </si>
  <si>
    <t>FECHA DE CALCULO</t>
  </si>
  <si>
    <t>S</t>
  </si>
  <si>
    <t xml:space="preserve">Sit.Normal     </t>
  </si>
  <si>
    <t>F</t>
  </si>
  <si>
    <t>J</t>
  </si>
  <si>
    <t>1753-01-01</t>
  </si>
  <si>
    <t xml:space="preserve">Alto Riesgo    </t>
  </si>
  <si>
    <t>Cuenta</t>
  </si>
  <si>
    <t>Descripcion</t>
  </si>
  <si>
    <t>CALL</t>
  </si>
  <si>
    <t>call otorgado</t>
  </si>
  <si>
    <t>Mayorista - Financiero</t>
  </si>
  <si>
    <t>BCCate_sin_esp</t>
  </si>
  <si>
    <t>Situacion</t>
  </si>
  <si>
    <t>PD Ajustada FL</t>
  </si>
  <si>
    <t>PD Ajustada FL Diaria</t>
  </si>
  <si>
    <t xml:space="preserve">               </t>
  </si>
  <si>
    <t>I</t>
  </si>
  <si>
    <t>Sit.Normal</t>
  </si>
  <si>
    <t>CUENTA</t>
  </si>
  <si>
    <t>CATEGORIA</t>
  </si>
  <si>
    <t>Limite</t>
  </si>
  <si>
    <t>Consumos $</t>
  </si>
  <si>
    <t>Consumos U$S</t>
  </si>
  <si>
    <t>SALDO NO UTILIZADO BRUTO</t>
  </si>
  <si>
    <t>SALDO NO UTILIZADO FINAL</t>
  </si>
  <si>
    <t>Rubro</t>
  </si>
  <si>
    <t>Categoria</t>
  </si>
  <si>
    <t>sit</t>
  </si>
  <si>
    <t>CCF Basilea</t>
  </si>
  <si>
    <t>PE Saldo No Util</t>
  </si>
  <si>
    <t>Dólar Oficial Mayorista Cierre Mes</t>
  </si>
  <si>
    <t>Alto Riesgo</t>
  </si>
  <si>
    <t>Codigo</t>
  </si>
  <si>
    <t>Desc</t>
  </si>
  <si>
    <t>Sit BCRA</t>
  </si>
  <si>
    <t>Total</t>
  </si>
  <si>
    <t xml:space="preserve">PD límite inferior </t>
  </si>
  <si>
    <t>Riesgo Potencia</t>
  </si>
  <si>
    <t>Con otras garantias Hipotecarias</t>
  </si>
  <si>
    <t>Con Problemas</t>
  </si>
  <si>
    <t>Con otras garantias prendarias</t>
  </si>
  <si>
    <t>Irrecuperable</t>
  </si>
  <si>
    <t>Irrec Disp Tecn</t>
  </si>
  <si>
    <t>Privado no fin capitales</t>
  </si>
  <si>
    <t>INCLUIDO EN SALDOS NO UTILIZADOS</t>
  </si>
  <si>
    <t>Tipo de producto</t>
  </si>
  <si>
    <t xml:space="preserve">BP BROKERS SA                 </t>
  </si>
  <si>
    <t>Otros Intereses Documentados</t>
  </si>
  <si>
    <t>Linea</t>
  </si>
  <si>
    <t xml:space="preserve">VIVALCE SOCIEDAD ANONIMA      </t>
  </si>
  <si>
    <t>No Linea</t>
  </si>
  <si>
    <t xml:space="preserve">ENTRE RIOS CRUSHING S.A.      </t>
  </si>
  <si>
    <t>IVA Debito Fiscal no Cobrados</t>
  </si>
  <si>
    <t>Créditos clasificados irrecuperables</t>
  </si>
  <si>
    <t>Documentos(a descontar?)</t>
  </si>
  <si>
    <t>Tarjetas de Crédito</t>
  </si>
  <si>
    <t>Cuenta contingente deudora por el contrario</t>
  </si>
  <si>
    <t>Cobros no aplicados</t>
  </si>
  <si>
    <t>Diversos</t>
  </si>
  <si>
    <t>Préstamos Garantizados - Dto 1387/01 FRB</t>
  </si>
  <si>
    <t>(REGULARIZADORA COM. "A" 3911)</t>
  </si>
  <si>
    <t>Intereses Dev a Cobrar - Dto 1387/01</t>
  </si>
  <si>
    <t>Ajuste Dev a Cob Ptmo Garantizado CER</t>
  </si>
  <si>
    <t>Prestamo Hipotecario</t>
  </si>
  <si>
    <t>Prendarios</t>
  </si>
  <si>
    <t xml:space="preserve">Otros </t>
  </si>
  <si>
    <t>Intereses Documentados</t>
  </si>
  <si>
    <t>Prestamos Hipotecarios</t>
  </si>
  <si>
    <t>Prestamos Prendarios</t>
  </si>
  <si>
    <t>Alquileres por locación financiera</t>
  </si>
  <si>
    <t>Otros comprendidos en las Normas sobre Clasificacion de deudores</t>
  </si>
  <si>
    <t>Créditos por arrendamientos financieros</t>
  </si>
  <si>
    <t>LEASING - (Amortización Acumulada)</t>
  </si>
  <si>
    <t>Creditos Clasificados Irrecuperables</t>
  </si>
  <si>
    <t>Cuentas contingentes deudoras por el contrario</t>
  </si>
  <si>
    <t>Cuentas de control deudoras por contra</t>
  </si>
  <si>
    <t>Rubros Considerados</t>
  </si>
  <si>
    <t>Prestamos Personales a empleados del banco</t>
  </si>
  <si>
    <t>Saldo No utilizado en Acc CC</t>
  </si>
  <si>
    <t>CALLS OTORGADOS y Cuenta Contingente deudora por el contrario NO VAN "CARTERA OTROS"</t>
  </si>
  <si>
    <t>Creditos resaltados en celeste no se consideran porque se netean los saldos negativos y positivos</t>
  </si>
  <si>
    <t xml:space="preserve">Irrecuperable  </t>
  </si>
  <si>
    <t>BCTDia</t>
  </si>
  <si>
    <t>BCTAno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</si>
</sst>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-* #,##0.00_-;\-* #,##0.00_-;_-* &quot;-&quot;??_-;_-@_-"/>
    <numFmt numFmtId="164" formatCode="0.000"/>
    <numFmt numFmtId="165" formatCode="_-* #,##0_-;\-* #,##0_-;_-* &quot;-&quot;??_-;_-@_-"/>
    <numFmt numFmtId="166" formatCode="_ * #,##0.00_ ;_ * \-#,##0.00_ ;_ * &quot;-&quot;??_ ;_ @_ "/>
    <numFmt numFmtId="167" formatCode="#,##0_ ;\-#,##0\ "/>
    <numFmt numFmtId="168" formatCode="_-* #,##0.00000_-;\-* #,##0.00000_-;_-* &quot;-&quot;??_-;_-@_-"/>
    <numFmt numFmtId="169" formatCode="#,##0.0000;\-#,##0.0000"/>
    <numFmt numFmtId="170" formatCode="#,##0.000000;\-#,##0.000000"/>
    <numFmt numFmtId="171" formatCode="#,##0.00_ ;\-#,##0.00\ "/>
    <numFmt numFmtId="172" formatCode="0.000000"/>
    <numFmt numFmtId="173" formatCode="#,##0.0000_ ;\-#,##0.0000\ "/>
    <numFmt numFmtId="174" formatCode="#,##0.00000_ ;\-#,##0.00000\ "/>
    <numFmt numFmtId="175" formatCode="#,##0.000000000_ ;\-#,##0.000000000\ "/>
    <numFmt numFmtId="176" formatCode="#,##0.00000000000000000_ ;\-#,##0.00000000000000000\ "/>
    <numFmt numFmtId="177" formatCode="#,##0.0"/>
    <numFmt numFmtId="178" formatCode="#,##0.0000"/>
    <numFmt numFmtId="179" formatCode="0.00000%"/>
    <numFmt numFmtId="180" formatCode="0.000%"/>
    <numFmt numFmtId="181" formatCode="0.0%"/>
    <numFmt numFmtId="182" formatCode="_-* #,##0.00\ _p_t_a_-;\-* #,##0.00\ _p_t_a_-;_-* &quot;-&quot;??\ _p_t_a_-;_-@_-"/>
    <numFmt numFmtId="183" formatCode="_-* #,##0.0_-;\-* #,##0.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000000"/>
      <name val="Times New Roman"/>
      <family val="1"/>
    </font>
    <font>
      <b/>
      <u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u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i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rgb="FF231F20"/>
      </right>
      <top style="medium">
        <color rgb="FF231F20"/>
      </top>
      <bottom style="thick">
        <color rgb="FF231F20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0" fillId="0" borderId="0"/>
    <xf numFmtId="0" fontId="18" fillId="0" borderId="0"/>
    <xf numFmtId="182" fontId="18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0" fontId="1" fillId="0" borderId="0"/>
    <xf numFmtId="9" fontId="18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143">
    <xf numFmtId="0" fontId="0" fillId="0" borderId="0" xfId="0"/>
    <xf numFmtId="14" fontId="0" fillId="0" borderId="0" xfId="0" applyNumberFormat="1"/>
    <xf numFmtId="3" fontId="0" fillId="0" borderId="0" xfId="0" applyNumberFormat="1"/>
    <xf numFmtId="165" fontId="0" fillId="0" borderId="0" xfId="1" applyNumberFormat="1" applyFont="1"/>
    <xf numFmtId="10" fontId="0" fillId="0" borderId="0" xfId="2" applyNumberFormat="1" applyFont="1"/>
    <xf numFmtId="1" fontId="0" fillId="0" borderId="0" xfId="0" applyNumberFormat="1"/>
    <xf numFmtId="165" fontId="0" fillId="0" borderId="0" xfId="0" applyNumberFormat="1"/>
    <xf numFmtId="0" fontId="0" fillId="0" borderId="0" xfId="3" applyNumberFormat="1" applyFont="1"/>
    <xf numFmtId="0" fontId="2" fillId="0" borderId="0" xfId="0" applyFont="1"/>
    <xf numFmtId="0" fontId="0" fillId="0" borderId="3" xfId="0" applyBorder="1" applyAlignment="1">
      <alignment horizontal="center" vertical="center"/>
    </xf>
    <xf numFmtId="167" fontId="0" fillId="0" borderId="4" xfId="1" applyNumberFormat="1" applyFont="1" applyBorder="1" applyAlignment="1">
      <alignment horizontal="center" vertical="center"/>
    </xf>
    <xf numFmtId="2" fontId="0" fillId="0" borderId="0" xfId="0" applyNumberFormat="1"/>
    <xf numFmtId="4" fontId="0" fillId="0" borderId="0" xfId="0" applyNumberFormat="1"/>
    <xf numFmtId="0" fontId="0" fillId="0" borderId="10" xfId="0" applyBorder="1" applyAlignment="1">
      <alignment horizontal="center" vertical="center"/>
    </xf>
    <xf numFmtId="167" fontId="0" fillId="0" borderId="11" xfId="1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7" fontId="2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4" fontId="0" fillId="3" borderId="0" xfId="0" applyNumberFormat="1" applyFill="1"/>
    <xf numFmtId="9" fontId="0" fillId="0" borderId="0" xfId="0" applyNumberFormat="1"/>
    <xf numFmtId="0" fontId="5" fillId="5" borderId="2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168" fontId="0" fillId="0" borderId="0" xfId="1" applyNumberFormat="1" applyFont="1"/>
    <xf numFmtId="170" fontId="0" fillId="0" borderId="0" xfId="0" applyNumberFormat="1"/>
    <xf numFmtId="17" fontId="6" fillId="5" borderId="14" xfId="0" applyNumberFormat="1" applyFont="1" applyFill="1" applyBorder="1" applyAlignment="1">
      <alignment horizontal="center" vertical="center" wrapText="1"/>
    </xf>
    <xf numFmtId="0" fontId="0" fillId="0" borderId="15" xfId="0" applyBorder="1"/>
    <xf numFmtId="0" fontId="4" fillId="5" borderId="15" xfId="0" applyFont="1" applyFill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8" fillId="0" borderId="0" xfId="0" applyFont="1"/>
    <xf numFmtId="0" fontId="7" fillId="0" borderId="15" xfId="0" applyFont="1" applyBorder="1" applyAlignment="1">
      <alignment vertical="center"/>
    </xf>
    <xf numFmtId="0" fontId="4" fillId="7" borderId="15" xfId="0" applyFont="1" applyFill="1" applyBorder="1" applyAlignment="1">
      <alignment vertical="center" wrapText="1"/>
    </xf>
    <xf numFmtId="0" fontId="6" fillId="7" borderId="14" xfId="0" applyFont="1" applyFill="1" applyBorder="1" applyAlignment="1">
      <alignment vertical="center" wrapText="1"/>
    </xf>
    <xf numFmtId="0" fontId="6" fillId="8" borderId="15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14" xfId="0" applyBorder="1"/>
    <xf numFmtId="0" fontId="4" fillId="6" borderId="14" xfId="0" applyFont="1" applyFill="1" applyBorder="1" applyAlignment="1">
      <alignment horizontal="center" vertical="center" wrapText="1"/>
    </xf>
    <xf numFmtId="167" fontId="6" fillId="7" borderId="14" xfId="1" applyNumberFormat="1" applyFont="1" applyFill="1" applyBorder="1" applyAlignment="1">
      <alignment horizontal="center" vertical="center" wrapText="1"/>
    </xf>
    <xf numFmtId="9" fontId="6" fillId="7" borderId="14" xfId="0" applyNumberFormat="1" applyFont="1" applyFill="1" applyBorder="1" applyAlignment="1">
      <alignment horizontal="center" vertical="center" wrapText="1"/>
    </xf>
    <xf numFmtId="3" fontId="6" fillId="8" borderId="14" xfId="0" applyNumberFormat="1" applyFont="1" applyFill="1" applyBorder="1" applyAlignment="1">
      <alignment horizontal="center" vertical="center" wrapText="1"/>
    </xf>
    <xf numFmtId="9" fontId="6" fillId="8" borderId="14" xfId="0" applyNumberFormat="1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vertical="center" wrapText="1"/>
    </xf>
    <xf numFmtId="171" fontId="4" fillId="5" borderId="14" xfId="1" applyNumberFormat="1" applyFont="1" applyFill="1" applyBorder="1" applyAlignment="1">
      <alignment horizontal="center" vertical="center" wrapText="1"/>
    </xf>
    <xf numFmtId="2" fontId="4" fillId="5" borderId="14" xfId="0" applyNumberFormat="1" applyFont="1" applyFill="1" applyBorder="1" applyAlignment="1">
      <alignment horizontal="center" vertical="center" wrapText="1"/>
    </xf>
    <xf numFmtId="164" fontId="4" fillId="0" borderId="14" xfId="0" applyNumberFormat="1" applyFont="1" applyBorder="1" applyAlignment="1">
      <alignment horizontal="center" vertical="center" wrapText="1"/>
    </xf>
    <xf numFmtId="2" fontId="4" fillId="0" borderId="14" xfId="0" applyNumberFormat="1" applyFont="1" applyBorder="1" applyAlignment="1">
      <alignment horizontal="center" vertical="center" wrapText="1"/>
    </xf>
    <xf numFmtId="4" fontId="4" fillId="0" borderId="14" xfId="0" applyNumberFormat="1" applyFont="1" applyBorder="1" applyAlignment="1">
      <alignment horizontal="center" vertical="center" wrapText="1"/>
    </xf>
    <xf numFmtId="0" fontId="0" fillId="0" borderId="9" xfId="0" applyBorder="1"/>
    <xf numFmtId="0" fontId="9" fillId="0" borderId="0" xfId="0" applyFont="1"/>
    <xf numFmtId="0" fontId="0" fillId="0" borderId="18" xfId="0" applyBorder="1"/>
    <xf numFmtId="0" fontId="10" fillId="0" borderId="19" xfId="4" applyBorder="1"/>
    <xf numFmtId="0" fontId="10" fillId="0" borderId="20" xfId="4" applyBorder="1"/>
    <xf numFmtId="0" fontId="0" fillId="0" borderId="21" xfId="0" applyBorder="1" applyAlignment="1">
      <alignment horizontal="left"/>
    </xf>
    <xf numFmtId="0" fontId="0" fillId="0" borderId="16" xfId="0" applyBorder="1"/>
    <xf numFmtId="0" fontId="0" fillId="0" borderId="5" xfId="0" applyBorder="1"/>
    <xf numFmtId="0" fontId="10" fillId="0" borderId="6" xfId="4" applyBorder="1"/>
    <xf numFmtId="0" fontId="10" fillId="0" borderId="22" xfId="4" applyBorder="1"/>
    <xf numFmtId="0" fontId="0" fillId="0" borderId="22" xfId="0" applyBorder="1" applyAlignment="1">
      <alignment horizontal="left"/>
    </xf>
    <xf numFmtId="0" fontId="0" fillId="0" borderId="23" xfId="0" applyBorder="1"/>
    <xf numFmtId="0" fontId="0" fillId="0" borderId="0" xfId="3" applyNumberFormat="1" applyFont="1" applyFill="1"/>
    <xf numFmtId="0" fontId="0" fillId="0" borderId="7" xfId="0" applyBorder="1"/>
    <xf numFmtId="0" fontId="10" fillId="0" borderId="8" xfId="4" applyBorder="1"/>
    <xf numFmtId="0" fontId="10" fillId="0" borderId="24" xfId="4" applyBorder="1"/>
    <xf numFmtId="0" fontId="0" fillId="0" borderId="24" xfId="0" applyBorder="1" applyAlignment="1">
      <alignment horizontal="left"/>
    </xf>
    <xf numFmtId="0" fontId="0" fillId="0" borderId="2" xfId="0" applyBorder="1"/>
    <xf numFmtId="0" fontId="10" fillId="0" borderId="23" xfId="4" applyBorder="1"/>
    <xf numFmtId="0" fontId="0" fillId="0" borderId="25" xfId="0" applyBorder="1"/>
    <xf numFmtId="0" fontId="10" fillId="0" borderId="15" xfId="4" applyBorder="1"/>
    <xf numFmtId="0" fontId="11" fillId="0" borderId="26" xfId="0" applyFont="1" applyBorder="1" applyAlignment="1">
      <alignment vertical="top"/>
    </xf>
    <xf numFmtId="2" fontId="6" fillId="0" borderId="14" xfId="0" applyNumberFormat="1" applyFont="1" applyBorder="1" applyAlignment="1">
      <alignment horizontal="center" vertical="center" wrapText="1"/>
    </xf>
    <xf numFmtId="173" fontId="4" fillId="5" borderId="14" xfId="0" applyNumberFormat="1" applyFont="1" applyFill="1" applyBorder="1" applyAlignment="1">
      <alignment horizontal="center" vertical="center" wrapText="1"/>
    </xf>
    <xf numFmtId="169" fontId="4" fillId="0" borderId="14" xfId="1" applyNumberFormat="1" applyFont="1" applyBorder="1" applyAlignment="1">
      <alignment horizontal="center" vertical="center" wrapText="1"/>
    </xf>
    <xf numFmtId="10" fontId="6" fillId="0" borderId="14" xfId="2" applyNumberFormat="1" applyFont="1" applyBorder="1" applyAlignment="1">
      <alignment horizontal="center" vertical="center" wrapText="1"/>
    </xf>
    <xf numFmtId="171" fontId="6" fillId="0" borderId="14" xfId="1" applyNumberFormat="1" applyFont="1" applyBorder="1" applyAlignment="1">
      <alignment horizontal="center" vertical="center" wrapText="1"/>
    </xf>
    <xf numFmtId="0" fontId="12" fillId="0" borderId="15" xfId="0" applyFont="1" applyBorder="1" applyAlignment="1">
      <alignment horizontal="left" vertical="center" wrapText="1" indent="1"/>
    </xf>
    <xf numFmtId="0" fontId="12" fillId="0" borderId="15" xfId="0" applyFont="1" applyBorder="1" applyAlignment="1">
      <alignment horizontal="left" vertical="center" indent="1"/>
    </xf>
    <xf numFmtId="173" fontId="6" fillId="0" borderId="14" xfId="1" applyNumberFormat="1" applyFont="1" applyBorder="1" applyAlignment="1">
      <alignment horizontal="center" vertical="center" wrapText="1"/>
    </xf>
    <xf numFmtId="171" fontId="0" fillId="0" borderId="0" xfId="0" applyNumberFormat="1"/>
    <xf numFmtId="174" fontId="0" fillId="0" borderId="0" xfId="0" applyNumberFormat="1" applyAlignment="1">
      <alignment horizontal="left" indent="4"/>
    </xf>
    <xf numFmtId="174" fontId="0" fillId="0" borderId="0" xfId="0" applyNumberFormat="1"/>
    <xf numFmtId="172" fontId="0" fillId="0" borderId="0" xfId="0" applyNumberFormat="1"/>
    <xf numFmtId="0" fontId="13" fillId="0" borderId="15" xfId="0" applyFont="1" applyBorder="1" applyAlignment="1">
      <alignment vertical="center" wrapText="1"/>
    </xf>
    <xf numFmtId="171" fontId="13" fillId="0" borderId="14" xfId="1" applyNumberFormat="1" applyFont="1" applyBorder="1" applyAlignment="1">
      <alignment horizontal="center" vertical="center" wrapText="1"/>
    </xf>
    <xf numFmtId="10" fontId="13" fillId="0" borderId="14" xfId="2" applyNumberFormat="1" applyFont="1" applyBorder="1" applyAlignment="1">
      <alignment horizontal="center" vertical="center" wrapText="1"/>
    </xf>
    <xf numFmtId="2" fontId="13" fillId="0" borderId="14" xfId="0" applyNumberFormat="1" applyFont="1" applyBorder="1" applyAlignment="1">
      <alignment horizontal="center" vertical="center" wrapText="1"/>
    </xf>
    <xf numFmtId="173" fontId="4" fillId="5" borderId="14" xfId="1" applyNumberFormat="1" applyFont="1" applyFill="1" applyBorder="1" applyAlignment="1">
      <alignment horizontal="center" vertical="center" wrapText="1"/>
    </xf>
    <xf numFmtId="175" fontId="0" fillId="0" borderId="0" xfId="0" applyNumberFormat="1"/>
    <xf numFmtId="176" fontId="0" fillId="0" borderId="0" xfId="0" applyNumberFormat="1"/>
    <xf numFmtId="173" fontId="13" fillId="0" borderId="14" xfId="1" applyNumberFormat="1" applyFont="1" applyBorder="1" applyAlignment="1">
      <alignment horizontal="center" vertical="center" wrapText="1"/>
    </xf>
    <xf numFmtId="4" fontId="6" fillId="8" borderId="14" xfId="0" applyNumberFormat="1" applyFont="1" applyFill="1" applyBorder="1" applyAlignment="1">
      <alignment horizontal="center" vertical="center" wrapText="1"/>
    </xf>
    <xf numFmtId="177" fontId="6" fillId="8" borderId="14" xfId="0" applyNumberFormat="1" applyFont="1" applyFill="1" applyBorder="1" applyAlignment="1">
      <alignment horizontal="center" vertical="center" wrapText="1"/>
    </xf>
    <xf numFmtId="178" fontId="6" fillId="8" borderId="14" xfId="0" applyNumberFormat="1" applyFont="1" applyFill="1" applyBorder="1" applyAlignment="1">
      <alignment horizontal="center" vertical="center" wrapText="1"/>
    </xf>
    <xf numFmtId="0" fontId="14" fillId="0" borderId="0" xfId="0" applyFont="1"/>
    <xf numFmtId="47" fontId="0" fillId="0" borderId="0" xfId="0" applyNumberFormat="1"/>
    <xf numFmtId="180" fontId="0" fillId="0" borderId="0" xfId="2" applyNumberFormat="1" applyFont="1"/>
    <xf numFmtId="165" fontId="14" fillId="0" borderId="0" xfId="1" applyNumberFormat="1" applyFont="1"/>
    <xf numFmtId="43" fontId="0" fillId="0" borderId="0" xfId="0" applyNumberFormat="1"/>
    <xf numFmtId="10" fontId="0" fillId="4" borderId="16" xfId="2" applyNumberFormat="1" applyFont="1" applyFill="1" applyBorder="1"/>
    <xf numFmtId="10" fontId="0" fillId="4" borderId="23" xfId="2" applyNumberFormat="1" applyFont="1" applyFill="1" applyBorder="1"/>
    <xf numFmtId="0" fontId="15" fillId="0" borderId="0" xfId="0" applyFont="1"/>
    <xf numFmtId="165" fontId="15" fillId="0" borderId="0" xfId="1" applyNumberFormat="1" applyFont="1"/>
    <xf numFmtId="10" fontId="15" fillId="0" borderId="0" xfId="2" applyNumberFormat="1" applyFont="1"/>
    <xf numFmtId="179" fontId="15" fillId="0" borderId="0" xfId="2" applyNumberFormat="1" applyFont="1"/>
    <xf numFmtId="43" fontId="16" fillId="0" borderId="0" xfId="1" applyFont="1"/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3" fontId="0" fillId="9" borderId="0" xfId="0" applyNumberFormat="1" applyFill="1"/>
    <xf numFmtId="3" fontId="0" fillId="3" borderId="0" xfId="0" applyNumberFormat="1" applyFill="1"/>
    <xf numFmtId="3" fontId="0" fillId="0" borderId="0" xfId="0" applyNumberFormat="1" applyAlignment="1">
      <alignment horizontal="center"/>
    </xf>
    <xf numFmtId="181" fontId="0" fillId="0" borderId="0" xfId="2" applyNumberFormat="1" applyFont="1"/>
    <xf numFmtId="0" fontId="0" fillId="4" borderId="0" xfId="0" applyFill="1"/>
    <xf numFmtId="10" fontId="0" fillId="0" borderId="0" xfId="0" applyNumberForma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81" fontId="0" fillId="0" borderId="0" xfId="0" applyNumberFormat="1"/>
    <xf numFmtId="0" fontId="17" fillId="0" borderId="0" xfId="0" applyFont="1"/>
    <xf numFmtId="165" fontId="17" fillId="0" borderId="0" xfId="1" applyNumberFormat="1" applyFont="1"/>
    <xf numFmtId="0" fontId="2" fillId="0" borderId="9" xfId="0" applyFont="1" applyBorder="1"/>
    <xf numFmtId="10" fontId="3" fillId="10" borderId="0" xfId="0" applyNumberFormat="1" applyFont="1" applyFill="1"/>
    <xf numFmtId="183" fontId="0" fillId="0" borderId="0" xfId="1" applyNumberFormat="1" applyFont="1"/>
    <xf numFmtId="0" fontId="16" fillId="4" borderId="0" xfId="0" applyFont="1" applyFill="1"/>
    <xf numFmtId="14" fontId="16" fillId="4" borderId="0" xfId="0" applyNumberFormat="1" applyFont="1" applyFill="1"/>
    <xf numFmtId="0" fontId="19" fillId="0" borderId="0" xfId="0" applyFont="1"/>
    <xf numFmtId="43" fontId="0" fillId="3" borderId="0" xfId="1" applyFont="1" applyFill="1"/>
    <xf numFmtId="181" fontId="2" fillId="0" borderId="0" xfId="2" applyNumberFormat="1" applyFont="1"/>
    <xf numFmtId="10" fontId="2" fillId="0" borderId="0" xfId="2" applyNumberFormat="1" applyFont="1" applyAlignment="1">
      <alignment horizontal="center"/>
    </xf>
    <xf numFmtId="10" fontId="0" fillId="0" borderId="0" xfId="2" applyNumberFormat="1" applyFont="1" applyFill="1"/>
    <xf numFmtId="180" fontId="0" fillId="0" borderId="0" xfId="2" applyNumberFormat="1" applyFont="1" applyFill="1"/>
    <xf numFmtId="43" fontId="0" fillId="0" borderId="0" xfId="1" applyFont="1"/>
    <xf numFmtId="164" fontId="0" fillId="0" borderId="0" xfId="0" applyNumberFormat="1"/>
    <xf numFmtId="0" fontId="2" fillId="0" borderId="0" xfId="0" applyFont="1" applyAlignment="1">
      <alignment horizontal="center" vertical="center"/>
    </xf>
    <xf numFmtId="0" fontId="19" fillId="11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wrapText="1"/>
    </xf>
    <xf numFmtId="3" fontId="2" fillId="0" borderId="0" xfId="0" applyNumberFormat="1" applyFont="1"/>
    <xf numFmtId="165" fontId="2" fillId="0" borderId="0" xfId="1" applyNumberFormat="1" applyFont="1" applyAlignment="1">
      <alignment horizontal="right"/>
    </xf>
  </cellXfs>
  <cellStyles count="12">
    <cellStyle name="Comma 2" xfId="3" xr:uid="{00000000-0005-0000-0000-000000000000}"/>
    <cellStyle name="Millares" xfId="1" builtinId="3"/>
    <cellStyle name="Millares 2" xfId="7" xr:uid="{60E38590-8ADC-43EC-9653-A4A09B46A750}"/>
    <cellStyle name="Millares 3" xfId="8" xr:uid="{32187B8F-9F42-4764-A53F-13FA3365064A}"/>
    <cellStyle name="Millares 4" xfId="6" xr:uid="{3291A8DB-7513-48F1-9CAB-6760957C7DCB}"/>
    <cellStyle name="Normal" xfId="0" builtinId="0"/>
    <cellStyle name="Normal 2" xfId="4" xr:uid="{00000000-0005-0000-0000-000003000000}"/>
    <cellStyle name="Normal 3" xfId="9" xr:uid="{0D642A33-E321-4598-98D4-010A5F82D197}"/>
    <cellStyle name="Normal 4" xfId="5" xr:uid="{B5B9BAE9-DF94-44F7-8776-55EF5C43656E}"/>
    <cellStyle name="Porcentaje" xfId="2" builtinId="5"/>
    <cellStyle name="Porcentaje 2" xfId="11" xr:uid="{42B4B7E5-FA4B-42A2-B995-C5F41549E8E3}"/>
    <cellStyle name="Porcentaje 3" xfId="10" xr:uid="{A2E2422D-7D74-4A0C-A7BD-ED7E90A23D9C}"/>
  </cellStyles>
  <dxfs count="0"/>
  <tableStyles count="1" defaultTableStyle="TableStyleMedium2" defaultPivotStyle="PivotStyleLight16">
    <tableStyle name="Invisible" pivot="0" table="0" count="0" xr9:uid="{DD751C09-2791-4318-813F-AC32951D3DF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spapaste\My%20Documents\15981\INFORMES\licencia\comparaci&#243;n\2007\Cuadro_Comp_Deuda_0507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Forward%20Looking/Septiembre%202025/Forward%20Looking%20Weights.xlsx" TargetMode="External"/><Relationship Id="rId2" Type="http://schemas.openxmlformats.org/officeDocument/2006/relationships/externalLinkPath" Target="https://llyasoc.sharepoint.com/sites/Soluciones-Actuariales/Documentos%20compartidos/CLIENTES/BROU/PCE/Forward%20Looking/Septiembre%202025/Forward%20Looking%20Weights.xlsx" TargetMode="External"/><Relationship Id="rId1" Type="http://schemas.openxmlformats.org/officeDocument/2006/relationships/externalLinkPath" Target="/sites/Soluciones-Actuariales/Documentos%20compartidos/CLIENTES/BROU/PCE/Forward%20Looking/Septiembre%202025/Forward%20Looking%20Weight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lyasoc.sharepoint.com/sites/Soluciones-Actuariales/Documentos%20compartidos/CLIENTES/BROU/PCE/Recalculo/Abril%202026/saldos%20no%20utilizados.xlsx" TargetMode="External"/><Relationship Id="rId1" Type="http://schemas.openxmlformats.org/officeDocument/2006/relationships/externalLinkPath" Target="saldos%20no%20utilizado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lyasoc.sharepoint.com/sites/Soluciones-Actuariales/Documentos%20compartidos/CLIENTES/BROU/PCE/Recalculo/Abril%202026/Parametros%20-%20PD%20y%20LGD.xlsx" TargetMode="External"/><Relationship Id="rId1" Type="http://schemas.openxmlformats.org/officeDocument/2006/relationships/externalLinkPath" Target="Parametros%20-%20PD%20y%20LG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ción (2)"/>
    </sheetNames>
    <sheetDataSet>
      <sheetData sheetId="0">
        <row r="2">
          <cell r="B2" t="str">
            <v>SITUACIONES PRESENTADAS AL 30/04/07</v>
          </cell>
          <cell r="T2" t="str">
            <v>Saldo a Vencer</v>
          </cell>
        </row>
        <row r="3">
          <cell r="C3" t="str">
            <v xml:space="preserve"> </v>
          </cell>
          <cell r="D3">
            <v>1993</v>
          </cell>
          <cell r="E3">
            <v>1994</v>
          </cell>
          <cell r="F3">
            <v>1995</v>
          </cell>
          <cell r="G3">
            <v>1996</v>
          </cell>
          <cell r="H3">
            <v>1997</v>
          </cell>
          <cell r="I3">
            <v>1998</v>
          </cell>
          <cell r="J3">
            <v>1999</v>
          </cell>
          <cell r="K3">
            <v>2000</v>
          </cell>
          <cell r="L3">
            <v>2001</v>
          </cell>
          <cell r="M3">
            <v>2002</v>
          </cell>
          <cell r="N3">
            <v>2003</v>
          </cell>
          <cell r="O3">
            <v>2004</v>
          </cell>
          <cell r="P3">
            <v>2005</v>
          </cell>
          <cell r="Q3">
            <v>2006</v>
          </cell>
          <cell r="R3">
            <v>2007</v>
          </cell>
          <cell r="S3" t="str">
            <v>Vencido</v>
          </cell>
          <cell r="T3" t="str">
            <v xml:space="preserve"> </v>
          </cell>
        </row>
        <row r="4">
          <cell r="C4" t="str">
            <v xml:space="preserve"> </v>
          </cell>
          <cell r="D4" t="str">
            <v>$ Original</v>
          </cell>
          <cell r="E4" t="str">
            <v>$ Original</v>
          </cell>
          <cell r="F4" t="str">
            <v>$ Original</v>
          </cell>
          <cell r="G4" t="str">
            <v>$ Original</v>
          </cell>
          <cell r="H4" t="str">
            <v>$ Original</v>
          </cell>
          <cell r="I4" t="str">
            <v>$ Original</v>
          </cell>
          <cell r="J4" t="str">
            <v>$ Original</v>
          </cell>
          <cell r="K4" t="str">
            <v>$ Original</v>
          </cell>
          <cell r="L4" t="str">
            <v>$ Original</v>
          </cell>
          <cell r="M4" t="str">
            <v>$ Original</v>
          </cell>
          <cell r="N4" t="str">
            <v>$ Original</v>
          </cell>
          <cell r="O4" t="str">
            <v>$ Original</v>
          </cell>
          <cell r="P4" t="str">
            <v>$ Original</v>
          </cell>
          <cell r="Q4" t="str">
            <v>$ Original</v>
          </cell>
          <cell r="R4" t="str">
            <v>$ Original</v>
          </cell>
          <cell r="T4" t="str">
            <v xml:space="preserve"> </v>
          </cell>
        </row>
        <row r="5">
          <cell r="B5" t="str">
            <v>En vigor</v>
          </cell>
          <cell r="C5" t="str">
            <v xml:space="preserve"> </v>
          </cell>
          <cell r="D5">
            <v>0</v>
          </cell>
          <cell r="E5">
            <v>0</v>
          </cell>
          <cell r="F5">
            <v>43940.32</v>
          </cell>
          <cell r="G5">
            <v>87687.98</v>
          </cell>
          <cell r="H5">
            <v>13438.37</v>
          </cell>
          <cell r="I5">
            <v>2873.62</v>
          </cell>
          <cell r="J5">
            <v>38298.01</v>
          </cell>
          <cell r="K5">
            <v>20800.13</v>
          </cell>
          <cell r="L5">
            <v>487042</v>
          </cell>
          <cell r="M5">
            <v>770998</v>
          </cell>
          <cell r="N5">
            <v>693193</v>
          </cell>
          <cell r="O5">
            <v>586702</v>
          </cell>
          <cell r="P5">
            <v>818515</v>
          </cell>
          <cell r="Q5">
            <v>1779455</v>
          </cell>
          <cell r="R5">
            <v>4174613</v>
          </cell>
          <cell r="S5">
            <v>9517556.4299999997</v>
          </cell>
          <cell r="T5">
            <v>23491098</v>
          </cell>
        </row>
        <row r="6">
          <cell r="B6" t="str">
            <v>En baja</v>
          </cell>
          <cell r="C6" t="str">
            <v xml:space="preserve"> </v>
          </cell>
          <cell r="D6">
            <v>58158.37</v>
          </cell>
          <cell r="E6">
            <v>60239.8</v>
          </cell>
          <cell r="F6">
            <v>220824.8</v>
          </cell>
          <cell r="G6">
            <v>133504</v>
          </cell>
          <cell r="H6">
            <v>138252</v>
          </cell>
          <cell r="I6">
            <v>125666.22</v>
          </cell>
          <cell r="J6">
            <v>103311</v>
          </cell>
          <cell r="K6">
            <v>218528</v>
          </cell>
          <cell r="L6">
            <v>3600007</v>
          </cell>
          <cell r="M6">
            <v>5166564</v>
          </cell>
          <cell r="N6">
            <v>3329696</v>
          </cell>
          <cell r="O6">
            <v>1543535</v>
          </cell>
          <cell r="P6">
            <v>1100865</v>
          </cell>
          <cell r="Q6">
            <v>796073</v>
          </cell>
          <cell r="R6">
            <v>171983</v>
          </cell>
          <cell r="S6">
            <v>16767207.189999999</v>
          </cell>
          <cell r="T6">
            <v>325751</v>
          </cell>
        </row>
        <row r="7">
          <cell r="B7" t="str">
            <v>Sub-Total:</v>
          </cell>
          <cell r="D7">
            <v>58158.37</v>
          </cell>
          <cell r="E7">
            <v>60239.8</v>
          </cell>
          <cell r="F7">
            <v>264765.12</v>
          </cell>
          <cell r="G7">
            <v>221191.98</v>
          </cell>
          <cell r="H7">
            <v>151690.37</v>
          </cell>
          <cell r="I7">
            <v>128539.84</v>
          </cell>
          <cell r="J7">
            <v>141609.01</v>
          </cell>
          <cell r="K7">
            <v>239328.13</v>
          </cell>
          <cell r="L7">
            <v>4087049</v>
          </cell>
          <cell r="M7">
            <v>5937562</v>
          </cell>
          <cell r="N7">
            <v>4022889</v>
          </cell>
          <cell r="O7">
            <v>2130237</v>
          </cell>
          <cell r="P7">
            <v>1919380</v>
          </cell>
          <cell r="Q7">
            <v>2575528</v>
          </cell>
          <cell r="R7">
            <v>4346596</v>
          </cell>
          <cell r="S7">
            <v>26284763.619999997</v>
          </cell>
          <cell r="T7">
            <v>23816849</v>
          </cell>
        </row>
        <row r="8">
          <cell r="B8" t="str">
            <v>Versión Administrativa</v>
          </cell>
          <cell r="K8">
            <v>1147.31</v>
          </cell>
          <cell r="L8">
            <v>56583.53</v>
          </cell>
          <cell r="M8">
            <v>18555.45</v>
          </cell>
          <cell r="N8">
            <v>8594.2999999999993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84880.59</v>
          </cell>
          <cell r="T8">
            <v>1799</v>
          </cell>
        </row>
        <row r="9">
          <cell r="B9" t="str">
            <v>TOTAL</v>
          </cell>
          <cell r="D9">
            <v>58158.37</v>
          </cell>
          <cell r="E9">
            <v>60239.8</v>
          </cell>
          <cell r="F9">
            <v>264765.12</v>
          </cell>
          <cell r="G9">
            <v>221191.98</v>
          </cell>
          <cell r="H9">
            <v>151690.37</v>
          </cell>
          <cell r="I9">
            <v>128539.84</v>
          </cell>
          <cell r="J9">
            <v>141609.01</v>
          </cell>
          <cell r="K9">
            <v>240475.44</v>
          </cell>
          <cell r="L9">
            <v>4143632.53</v>
          </cell>
          <cell r="M9">
            <v>5956117.4500000002</v>
          </cell>
          <cell r="N9">
            <v>4031483.3</v>
          </cell>
          <cell r="O9">
            <v>2130237</v>
          </cell>
          <cell r="P9">
            <v>1919380</v>
          </cell>
          <cell r="Q9">
            <v>2575528</v>
          </cell>
          <cell r="R9">
            <v>4346596</v>
          </cell>
          <cell r="S9">
            <v>26369644.209999997</v>
          </cell>
          <cell r="T9">
            <v>23818648</v>
          </cell>
        </row>
        <row r="12">
          <cell r="B12" t="str">
            <v>SITUACIONES PRESENTADAS AL 31/05/07</v>
          </cell>
          <cell r="T12" t="str">
            <v>Saldo a Vencer</v>
          </cell>
          <cell r="U12" t="str">
            <v>TOTAL</v>
          </cell>
        </row>
        <row r="13">
          <cell r="C13" t="str">
            <v xml:space="preserve"> </v>
          </cell>
          <cell r="D13">
            <v>1993</v>
          </cell>
          <cell r="E13">
            <v>1994</v>
          </cell>
          <cell r="F13">
            <v>1995</v>
          </cell>
          <cell r="G13">
            <v>1996</v>
          </cell>
          <cell r="H13">
            <v>1997</v>
          </cell>
          <cell r="I13">
            <v>1998</v>
          </cell>
          <cell r="J13">
            <v>1999</v>
          </cell>
          <cell r="K13">
            <v>2000</v>
          </cell>
          <cell r="L13">
            <v>2001</v>
          </cell>
          <cell r="M13">
            <v>2002</v>
          </cell>
          <cell r="N13">
            <v>2003</v>
          </cell>
          <cell r="O13">
            <v>2004</v>
          </cell>
          <cell r="P13">
            <v>2005</v>
          </cell>
          <cell r="Q13">
            <v>2006</v>
          </cell>
          <cell r="R13">
            <v>2007</v>
          </cell>
          <cell r="S13" t="str">
            <v>Vencido</v>
          </cell>
          <cell r="T13" t="str">
            <v xml:space="preserve"> </v>
          </cell>
          <cell r="U13" t="str">
            <v xml:space="preserve"> </v>
          </cell>
        </row>
        <row r="14">
          <cell r="C14" t="str">
            <v xml:space="preserve"> </v>
          </cell>
          <cell r="D14" t="str">
            <v>$ Original</v>
          </cell>
          <cell r="E14" t="str">
            <v>$ Original</v>
          </cell>
          <cell r="F14" t="str">
            <v>$ Original</v>
          </cell>
          <cell r="G14" t="str">
            <v>$ Original</v>
          </cell>
          <cell r="H14" t="str">
            <v>$ Original</v>
          </cell>
          <cell r="I14" t="str">
            <v>$ Original</v>
          </cell>
          <cell r="J14" t="str">
            <v>$ Original</v>
          </cell>
          <cell r="K14" t="str">
            <v>$ Original</v>
          </cell>
          <cell r="L14" t="str">
            <v>$ Original</v>
          </cell>
          <cell r="M14" t="str">
            <v>$ Original</v>
          </cell>
          <cell r="N14" t="str">
            <v>$ Original</v>
          </cell>
          <cell r="O14" t="str">
            <v>$ Original</v>
          </cell>
          <cell r="P14" t="str">
            <v>$ Original</v>
          </cell>
          <cell r="Q14" t="str">
            <v>$ Original</v>
          </cell>
          <cell r="R14" t="str">
            <v>$ Original</v>
          </cell>
          <cell r="T14" t="str">
            <v xml:space="preserve"> </v>
          </cell>
          <cell r="U14" t="str">
            <v xml:space="preserve"> </v>
          </cell>
        </row>
        <row r="15">
          <cell r="B15" t="str">
            <v>En vigor</v>
          </cell>
          <cell r="C15" t="str">
            <v xml:space="preserve"> </v>
          </cell>
          <cell r="D15">
            <v>0</v>
          </cell>
          <cell r="E15">
            <v>0</v>
          </cell>
          <cell r="F15">
            <v>43940.32</v>
          </cell>
          <cell r="G15">
            <v>87687.98</v>
          </cell>
          <cell r="H15">
            <v>13438.37</v>
          </cell>
          <cell r="I15">
            <v>2873.62</v>
          </cell>
          <cell r="J15">
            <v>38298.01</v>
          </cell>
          <cell r="K15">
            <v>20165</v>
          </cell>
          <cell r="L15">
            <v>481562</v>
          </cell>
          <cell r="M15">
            <v>749827</v>
          </cell>
          <cell r="N15">
            <v>678684</v>
          </cell>
          <cell r="O15">
            <v>574581.41</v>
          </cell>
          <cell r="P15">
            <v>793762.9</v>
          </cell>
          <cell r="Q15">
            <v>1528467.51</v>
          </cell>
          <cell r="R15">
            <v>4147036.25</v>
          </cell>
          <cell r="S15">
            <v>9160324.370000001</v>
          </cell>
          <cell r="T15">
            <v>33104904.699999999</v>
          </cell>
          <cell r="U15">
            <v>42265229.07</v>
          </cell>
        </row>
        <row r="16">
          <cell r="B16" t="str">
            <v>En baja</v>
          </cell>
          <cell r="C16" t="str">
            <v xml:space="preserve"> </v>
          </cell>
          <cell r="D16">
            <v>58158.37</v>
          </cell>
          <cell r="E16">
            <v>60239.8</v>
          </cell>
          <cell r="F16">
            <v>220824.8</v>
          </cell>
          <cell r="G16">
            <v>133415</v>
          </cell>
          <cell r="H16">
            <v>138218</v>
          </cell>
          <cell r="I16">
            <v>125647</v>
          </cell>
          <cell r="J16">
            <v>103311</v>
          </cell>
          <cell r="K16">
            <v>218899</v>
          </cell>
          <cell r="L16">
            <v>3598884.18</v>
          </cell>
          <cell r="M16">
            <v>5162668.2</v>
          </cell>
          <cell r="N16">
            <v>3324311.23</v>
          </cell>
          <cell r="O16">
            <v>1540452.17</v>
          </cell>
          <cell r="P16">
            <v>1090771.47</v>
          </cell>
          <cell r="Q16">
            <v>810544.69</v>
          </cell>
          <cell r="R16">
            <v>207314.46</v>
          </cell>
          <cell r="S16">
            <v>16793659.370000001</v>
          </cell>
          <cell r="T16">
            <v>334390</v>
          </cell>
          <cell r="U16">
            <v>17128049.370000001</v>
          </cell>
        </row>
        <row r="17">
          <cell r="B17" t="str">
            <v>Sub-Total:</v>
          </cell>
          <cell r="D17">
            <v>58158.37</v>
          </cell>
          <cell r="E17">
            <v>60239.8</v>
          </cell>
          <cell r="F17">
            <v>264765.12</v>
          </cell>
          <cell r="G17">
            <v>221102.97999999998</v>
          </cell>
          <cell r="H17">
            <v>151656.37</v>
          </cell>
          <cell r="I17">
            <v>128520.62</v>
          </cell>
          <cell r="J17">
            <v>141609.01</v>
          </cell>
          <cell r="K17">
            <v>239064</v>
          </cell>
          <cell r="L17">
            <v>4080446.18</v>
          </cell>
          <cell r="M17">
            <v>5912495.2000000002</v>
          </cell>
          <cell r="N17">
            <v>4002995.23</v>
          </cell>
          <cell r="O17">
            <v>2115033.58</v>
          </cell>
          <cell r="P17">
            <v>1884534.37</v>
          </cell>
          <cell r="Q17">
            <v>2339012.2000000002</v>
          </cell>
          <cell r="R17">
            <v>4354350.71</v>
          </cell>
          <cell r="S17">
            <v>25953983.740000002</v>
          </cell>
          <cell r="T17">
            <v>33439294.699999999</v>
          </cell>
          <cell r="U17">
            <v>59393278.439999998</v>
          </cell>
        </row>
        <row r="18">
          <cell r="B18" t="str">
            <v>Versión Administrativa</v>
          </cell>
          <cell r="K18">
            <v>1147.31</v>
          </cell>
          <cell r="L18">
            <v>56583.53</v>
          </cell>
          <cell r="M18">
            <v>18555.45</v>
          </cell>
          <cell r="N18">
            <v>8594.2999999999993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84880.59</v>
          </cell>
          <cell r="T18">
            <v>1828</v>
          </cell>
          <cell r="U18">
            <v>86708.59</v>
          </cell>
        </row>
        <row r="19">
          <cell r="B19" t="str">
            <v>TOTAL</v>
          </cell>
          <cell r="D19">
            <v>58158.37</v>
          </cell>
          <cell r="E19">
            <v>60239.8</v>
          </cell>
          <cell r="F19">
            <v>264765.12</v>
          </cell>
          <cell r="G19">
            <v>221102.97999999998</v>
          </cell>
          <cell r="H19">
            <v>151656.37</v>
          </cell>
          <cell r="I19">
            <v>128520.62</v>
          </cell>
          <cell r="J19">
            <v>141609.01</v>
          </cell>
          <cell r="K19">
            <v>240211.31</v>
          </cell>
          <cell r="L19">
            <v>4137029.71</v>
          </cell>
          <cell r="M19">
            <v>5931050.6500000004</v>
          </cell>
          <cell r="N19">
            <v>4011589.53</v>
          </cell>
          <cell r="O19">
            <v>2115033.58</v>
          </cell>
          <cell r="P19">
            <v>1884534.37</v>
          </cell>
          <cell r="Q19">
            <v>2339012.2000000002</v>
          </cell>
          <cell r="R19">
            <v>4354350.71</v>
          </cell>
          <cell r="S19">
            <v>26038864.330000002</v>
          </cell>
          <cell r="T19">
            <v>33441122.699999999</v>
          </cell>
          <cell r="U19">
            <v>59479987.030000001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sos escenarios"/>
    </sheetNames>
    <sheetDataSet>
      <sheetData sheetId="0">
        <row r="8">
          <cell r="F8">
            <v>0.66564143114357366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5">
          <cell r="C5">
            <v>59257</v>
          </cell>
          <cell r="D5">
            <v>700000</v>
          </cell>
          <cell r="E5">
            <v>1400000</v>
          </cell>
          <cell r="F5">
            <v>491639.93</v>
          </cell>
          <cell r="H5">
            <v>366913.99</v>
          </cell>
          <cell r="J5">
            <v>313598.15999999997</v>
          </cell>
          <cell r="L5">
            <v>761341.99</v>
          </cell>
          <cell r="N5">
            <v>423816.65</v>
          </cell>
          <cell r="P5">
            <v>668821.56000000006</v>
          </cell>
          <cell r="R5">
            <v>404599.58</v>
          </cell>
          <cell r="T5">
            <v>508866.82</v>
          </cell>
          <cell r="V5">
            <v>786663.24</v>
          </cell>
          <cell r="X5">
            <v>732960.69</v>
          </cell>
          <cell r="Y5">
            <v>37.6</v>
          </cell>
          <cell r="Z5">
            <v>881793.37</v>
          </cell>
          <cell r="AB5">
            <v>627534.05000000005</v>
          </cell>
          <cell r="AC5">
            <v>22.2</v>
          </cell>
          <cell r="AD5">
            <v>718147.29</v>
          </cell>
          <cell r="AF5">
            <v>967115.29</v>
          </cell>
          <cell r="AH5">
            <v>804117.95</v>
          </cell>
          <cell r="AJ5">
            <v>619673.80000000005</v>
          </cell>
          <cell r="AL5">
            <v>866763.68</v>
          </cell>
          <cell r="AN5">
            <v>679228.42</v>
          </cell>
          <cell r="AP5">
            <v>861958.21</v>
          </cell>
          <cell r="AR5">
            <v>960721.17</v>
          </cell>
          <cell r="AT5">
            <v>1041705.76</v>
          </cell>
          <cell r="AV5">
            <v>1112844.1299999999</v>
          </cell>
          <cell r="AX5">
            <v>620781.91</v>
          </cell>
          <cell r="AZ5">
            <v>688025.3</v>
          </cell>
        </row>
        <row r="6">
          <cell r="C6">
            <v>83994</v>
          </cell>
          <cell r="D6">
            <v>2000000</v>
          </cell>
          <cell r="E6">
            <v>4000000</v>
          </cell>
          <cell r="F6">
            <v>318808.25</v>
          </cell>
          <cell r="G6">
            <v>22.56</v>
          </cell>
          <cell r="H6">
            <v>1119351.28</v>
          </cell>
          <cell r="I6">
            <v>1.45</v>
          </cell>
          <cell r="J6">
            <v>1138044.02</v>
          </cell>
          <cell r="K6">
            <v>2.81</v>
          </cell>
          <cell r="L6">
            <v>1893798.7</v>
          </cell>
          <cell r="M6">
            <v>21.25</v>
          </cell>
          <cell r="N6">
            <v>1387859.43</v>
          </cell>
          <cell r="O6">
            <v>1.37</v>
          </cell>
          <cell r="P6">
            <v>1935673.34</v>
          </cell>
          <cell r="Q6">
            <v>5.1100000000000003</v>
          </cell>
          <cell r="R6">
            <v>941382.86</v>
          </cell>
          <cell r="S6">
            <v>33.04</v>
          </cell>
          <cell r="T6">
            <v>1065126.42</v>
          </cell>
          <cell r="U6">
            <v>2.48</v>
          </cell>
          <cell r="V6">
            <v>1105037.3999999999</v>
          </cell>
          <cell r="W6">
            <v>2.4300000000000002</v>
          </cell>
          <cell r="X6">
            <v>1207094.8400000001</v>
          </cell>
          <cell r="Y6">
            <v>33.619999999999997</v>
          </cell>
          <cell r="Z6">
            <v>1103099.79</v>
          </cell>
          <cell r="AA6">
            <v>2.35</v>
          </cell>
          <cell r="AB6">
            <v>1091112.02</v>
          </cell>
          <cell r="AC6">
            <v>2.33</v>
          </cell>
          <cell r="AD6">
            <v>1209614.52</v>
          </cell>
          <cell r="AE6">
            <v>2.14</v>
          </cell>
          <cell r="AF6">
            <v>1230731.04</v>
          </cell>
          <cell r="AG6">
            <v>25.97</v>
          </cell>
          <cell r="AH6">
            <v>564065.9</v>
          </cell>
          <cell r="AI6">
            <v>11.96</v>
          </cell>
          <cell r="AJ6">
            <v>1756349.14</v>
          </cell>
          <cell r="AK6">
            <v>9.11</v>
          </cell>
          <cell r="AL6">
            <v>1651404.9</v>
          </cell>
          <cell r="AM6">
            <v>4.3</v>
          </cell>
          <cell r="AN6">
            <v>1696923.17</v>
          </cell>
          <cell r="AP6">
            <v>1446100.28</v>
          </cell>
          <cell r="AQ6">
            <v>2.2999999999999998</v>
          </cell>
          <cell r="AR6">
            <v>1248377.83</v>
          </cell>
          <cell r="AS6">
            <v>14.94</v>
          </cell>
          <cell r="AT6">
            <v>-1859.05</v>
          </cell>
          <cell r="AV6">
            <v>1559008.44</v>
          </cell>
          <cell r="AW6">
            <v>13.03</v>
          </cell>
          <cell r="AX6">
            <v>1549130.19</v>
          </cell>
          <cell r="AY6">
            <v>2.34</v>
          </cell>
          <cell r="AZ6">
            <v>1559958.99</v>
          </cell>
          <cell r="BA6">
            <v>13.29</v>
          </cell>
        </row>
        <row r="7">
          <cell r="C7">
            <v>53465</v>
          </cell>
          <cell r="D7">
            <v>90000</v>
          </cell>
          <cell r="E7">
            <v>180000</v>
          </cell>
          <cell r="F7">
            <v>7738.05</v>
          </cell>
          <cell r="H7">
            <v>8986.81</v>
          </cell>
          <cell r="J7">
            <v>9646.59</v>
          </cell>
          <cell r="L7">
            <v>46817.34</v>
          </cell>
          <cell r="N7">
            <v>10440.24</v>
          </cell>
          <cell r="P7">
            <v>11328.62</v>
          </cell>
          <cell r="R7">
            <v>11627.43</v>
          </cell>
          <cell r="T7">
            <v>11968</v>
          </cell>
          <cell r="V7">
            <v>11841.89</v>
          </cell>
          <cell r="X7">
            <v>12157.98</v>
          </cell>
          <cell r="Z7">
            <v>12713.88</v>
          </cell>
          <cell r="AB7">
            <v>12690.54</v>
          </cell>
          <cell r="AD7">
            <v>12409.2</v>
          </cell>
          <cell r="AF7">
            <v>-456.49</v>
          </cell>
          <cell r="AH7">
            <v>-322.18</v>
          </cell>
          <cell r="AJ7">
            <v>-187.87</v>
          </cell>
          <cell r="AL7">
            <v>-53.56</v>
          </cell>
          <cell r="AN7">
            <v>443.75</v>
          </cell>
          <cell r="AP7">
            <v>497.31</v>
          </cell>
          <cell r="AR7">
            <v>497.31</v>
          </cell>
          <cell r="AT7">
            <v>137.03</v>
          </cell>
          <cell r="AV7">
            <v>134.31</v>
          </cell>
          <cell r="AX7">
            <v>134.31</v>
          </cell>
          <cell r="AZ7">
            <v>134.31</v>
          </cell>
        </row>
        <row r="8">
          <cell r="C8">
            <v>58922</v>
          </cell>
          <cell r="D8">
            <v>800000</v>
          </cell>
          <cell r="E8">
            <v>1600000</v>
          </cell>
          <cell r="F8">
            <v>663499.42000000004</v>
          </cell>
          <cell r="G8">
            <v>1.46</v>
          </cell>
          <cell r="H8">
            <v>429955.66</v>
          </cell>
          <cell r="I8">
            <v>1.43</v>
          </cell>
          <cell r="J8">
            <v>802937.95</v>
          </cell>
          <cell r="K8">
            <v>1.4</v>
          </cell>
          <cell r="L8">
            <v>480184.2</v>
          </cell>
          <cell r="M8">
            <v>1.37</v>
          </cell>
          <cell r="N8">
            <v>749500.37</v>
          </cell>
          <cell r="O8">
            <v>2.59</v>
          </cell>
          <cell r="P8">
            <v>853008.2</v>
          </cell>
          <cell r="Q8">
            <v>2.54</v>
          </cell>
          <cell r="R8">
            <v>514424.4</v>
          </cell>
          <cell r="S8">
            <v>2.4900000000000002</v>
          </cell>
          <cell r="T8">
            <v>1012716.89</v>
          </cell>
          <cell r="U8">
            <v>2.44</v>
          </cell>
          <cell r="V8">
            <v>836423.53</v>
          </cell>
          <cell r="W8">
            <v>3.16</v>
          </cell>
          <cell r="X8">
            <v>616978.38</v>
          </cell>
          <cell r="Y8">
            <v>3.12</v>
          </cell>
          <cell r="Z8">
            <v>1014480.68</v>
          </cell>
          <cell r="AB8">
            <v>704119.47</v>
          </cell>
          <cell r="AC8">
            <v>5.97</v>
          </cell>
          <cell r="AD8">
            <v>1014627.44</v>
          </cell>
          <cell r="AE8">
            <v>2.9</v>
          </cell>
          <cell r="AF8">
            <v>1159119.77</v>
          </cell>
          <cell r="AG8">
            <v>2.83</v>
          </cell>
          <cell r="AJ8">
            <v>956582.87</v>
          </cell>
          <cell r="AL8">
            <v>-373799.49</v>
          </cell>
          <cell r="AN8">
            <v>-306690.63</v>
          </cell>
          <cell r="AP8">
            <v>-223763.45</v>
          </cell>
          <cell r="AR8">
            <v>508735.57</v>
          </cell>
          <cell r="AT8">
            <v>443700.83</v>
          </cell>
          <cell r="AV8">
            <v>381718.62</v>
          </cell>
          <cell r="AX8">
            <v>530324.59</v>
          </cell>
          <cell r="AZ8">
            <v>842958.19</v>
          </cell>
        </row>
        <row r="9">
          <cell r="C9">
            <v>83020</v>
          </cell>
          <cell r="D9">
            <v>3000000</v>
          </cell>
          <cell r="E9">
            <v>9000000</v>
          </cell>
          <cell r="F9">
            <v>33551.879999999997</v>
          </cell>
          <cell r="H9">
            <v>35188.050000000003</v>
          </cell>
          <cell r="J9">
            <v>36496.720000000001</v>
          </cell>
          <cell r="L9">
            <v>36442.54</v>
          </cell>
          <cell r="N9">
            <v>38844.89</v>
          </cell>
          <cell r="P9">
            <v>39912.67</v>
          </cell>
          <cell r="R9">
            <v>41807.46</v>
          </cell>
          <cell r="T9">
            <v>42507.839999999997</v>
          </cell>
          <cell r="V9">
            <v>43826.63</v>
          </cell>
          <cell r="X9">
            <v>45554.38</v>
          </cell>
          <cell r="Z9">
            <v>45672.83</v>
          </cell>
          <cell r="AB9">
            <v>47653.48</v>
          </cell>
          <cell r="AD9">
            <v>41441.29</v>
          </cell>
          <cell r="AF9">
            <v>43490.91</v>
          </cell>
          <cell r="AH9">
            <v>44683.28</v>
          </cell>
          <cell r="AJ9">
            <v>45777.94</v>
          </cell>
          <cell r="AL9">
            <v>46340.3</v>
          </cell>
          <cell r="AN9">
            <v>46114.83</v>
          </cell>
          <cell r="AP9">
            <v>47525.09</v>
          </cell>
          <cell r="AR9">
            <v>691387.83</v>
          </cell>
          <cell r="AT9">
            <v>1763435.3</v>
          </cell>
          <cell r="AV9">
            <v>469037.16</v>
          </cell>
          <cell r="AX9">
            <v>1036945.01</v>
          </cell>
          <cell r="AZ9">
            <v>1236232.43</v>
          </cell>
        </row>
        <row r="10">
          <cell r="C10">
            <v>84164</v>
          </cell>
          <cell r="D10">
            <v>1500000</v>
          </cell>
          <cell r="E10">
            <v>3000000</v>
          </cell>
          <cell r="F10">
            <v>26404.44</v>
          </cell>
          <cell r="H10">
            <v>29849.31</v>
          </cell>
          <cell r="J10">
            <v>26384.31</v>
          </cell>
          <cell r="L10">
            <v>33493.39</v>
          </cell>
          <cell r="N10">
            <v>134.31</v>
          </cell>
          <cell r="P10">
            <v>134.31</v>
          </cell>
          <cell r="R10">
            <v>11534.31</v>
          </cell>
          <cell r="T10">
            <v>134.31</v>
          </cell>
          <cell r="V10">
            <v>90986.31</v>
          </cell>
          <cell r="X10">
            <v>37537.31</v>
          </cell>
          <cell r="Z10">
            <v>70285.710000000006</v>
          </cell>
          <cell r="AB10">
            <v>39922.639999999999</v>
          </cell>
          <cell r="AD10">
            <v>39922.639999999999</v>
          </cell>
          <cell r="AF10">
            <v>122834.78</v>
          </cell>
          <cell r="AH10">
            <v>60134.27</v>
          </cell>
          <cell r="AJ10">
            <v>96544.53</v>
          </cell>
          <cell r="AL10">
            <v>-96410.22</v>
          </cell>
          <cell r="AN10">
            <v>65934.2</v>
          </cell>
          <cell r="AP10">
            <v>134.31</v>
          </cell>
          <cell r="AR10">
            <v>21883.21</v>
          </cell>
          <cell r="AS10">
            <v>64.989999999999995</v>
          </cell>
          <cell r="AT10">
            <v>24612.17</v>
          </cell>
          <cell r="AV10">
            <v>497.31</v>
          </cell>
          <cell r="AX10">
            <v>40497.269999999997</v>
          </cell>
          <cell r="AZ10">
            <v>85134.34</v>
          </cell>
        </row>
        <row r="11">
          <cell r="C11">
            <v>84446</v>
          </cell>
          <cell r="D11">
            <v>2500000</v>
          </cell>
          <cell r="E11">
            <v>5000000</v>
          </cell>
          <cell r="F11">
            <v>403021.19</v>
          </cell>
          <cell r="H11">
            <v>607880.9</v>
          </cell>
          <cell r="J11">
            <v>772865.15</v>
          </cell>
          <cell r="L11">
            <v>465826.59</v>
          </cell>
          <cell r="N11">
            <v>644490.84</v>
          </cell>
          <cell r="P11">
            <v>1008351.35</v>
          </cell>
          <cell r="R11">
            <v>1408522.94</v>
          </cell>
          <cell r="S11">
            <v>4.2300000000000004</v>
          </cell>
          <cell r="T11">
            <v>1272905.6000000001</v>
          </cell>
          <cell r="U11">
            <v>4.1500000000000004</v>
          </cell>
          <cell r="V11">
            <v>1226238.32</v>
          </cell>
          <cell r="W11">
            <v>4.07</v>
          </cell>
          <cell r="X11">
            <v>1332120.6200000001</v>
          </cell>
          <cell r="Y11">
            <v>3.99</v>
          </cell>
          <cell r="Z11">
            <v>1506877.75</v>
          </cell>
          <cell r="AA11">
            <v>3.95</v>
          </cell>
          <cell r="AB11">
            <v>849062.56</v>
          </cell>
          <cell r="AC11">
            <v>633.73</v>
          </cell>
          <cell r="AD11">
            <v>582938.01</v>
          </cell>
          <cell r="AE11">
            <v>3.58</v>
          </cell>
          <cell r="AF11">
            <v>619788.84</v>
          </cell>
          <cell r="AH11">
            <v>1193327.31</v>
          </cell>
          <cell r="AJ11">
            <v>640773.05000000005</v>
          </cell>
          <cell r="AL11">
            <v>1069707.6499999999</v>
          </cell>
          <cell r="AN11">
            <v>763390.39</v>
          </cell>
          <cell r="AP11">
            <v>1096189.19</v>
          </cell>
          <cell r="AR11">
            <v>1321143.2</v>
          </cell>
          <cell r="AS11">
            <v>1423.01</v>
          </cell>
          <cell r="AT11">
            <v>1057368.08</v>
          </cell>
          <cell r="AU11">
            <v>63.38</v>
          </cell>
          <cell r="AV11">
            <v>1752773.04</v>
          </cell>
          <cell r="AX11">
            <v>879095.96</v>
          </cell>
          <cell r="AZ11">
            <v>969929.48</v>
          </cell>
        </row>
        <row r="12">
          <cell r="C12">
            <v>85001</v>
          </cell>
          <cell r="D12">
            <v>19000</v>
          </cell>
          <cell r="E12">
            <v>38000</v>
          </cell>
          <cell r="F12">
            <v>134.31</v>
          </cell>
          <cell r="H12">
            <v>134.31</v>
          </cell>
          <cell r="J12">
            <v>134.31</v>
          </cell>
          <cell r="L12">
            <v>134.31</v>
          </cell>
          <cell r="N12">
            <v>497.31</v>
          </cell>
          <cell r="P12">
            <v>497.31</v>
          </cell>
          <cell r="R12">
            <v>497.31</v>
          </cell>
          <cell r="T12">
            <v>134.31</v>
          </cell>
          <cell r="V12">
            <v>134.31</v>
          </cell>
          <cell r="X12">
            <v>134.31</v>
          </cell>
          <cell r="Z12">
            <v>134.31</v>
          </cell>
          <cell r="AB12">
            <v>134.31</v>
          </cell>
          <cell r="AD12">
            <v>134.31</v>
          </cell>
          <cell r="AF12">
            <v>134.31</v>
          </cell>
          <cell r="AH12">
            <v>134.31</v>
          </cell>
          <cell r="AJ12">
            <v>134.31</v>
          </cell>
          <cell r="AL12">
            <v>497.31</v>
          </cell>
          <cell r="AN12">
            <v>497.31</v>
          </cell>
          <cell r="AP12">
            <v>497.31</v>
          </cell>
          <cell r="AR12">
            <v>134.31</v>
          </cell>
          <cell r="AT12">
            <v>134.31</v>
          </cell>
          <cell r="AV12">
            <v>134.31</v>
          </cell>
          <cell r="AX12">
            <v>134.31</v>
          </cell>
          <cell r="AZ12">
            <v>134.31</v>
          </cell>
        </row>
        <row r="13">
          <cell r="C13">
            <v>85391</v>
          </cell>
          <cell r="D13">
            <v>1200000</v>
          </cell>
          <cell r="E13">
            <v>2400000</v>
          </cell>
          <cell r="F13">
            <v>852884.29</v>
          </cell>
          <cell r="H13">
            <v>785755.34</v>
          </cell>
          <cell r="J13">
            <v>697693.05</v>
          </cell>
          <cell r="L13">
            <v>643118.62</v>
          </cell>
          <cell r="N13">
            <v>601617</v>
          </cell>
          <cell r="P13">
            <v>835069.07</v>
          </cell>
          <cell r="R13">
            <v>904704.35</v>
          </cell>
          <cell r="T13">
            <v>666432.26</v>
          </cell>
          <cell r="V13">
            <v>577002.23999999999</v>
          </cell>
          <cell r="X13">
            <v>631313.67000000004</v>
          </cell>
          <cell r="Z13">
            <v>307709.93</v>
          </cell>
          <cell r="AB13">
            <v>283692.33</v>
          </cell>
          <cell r="AD13">
            <v>245574.49</v>
          </cell>
          <cell r="AF13">
            <v>220979.31</v>
          </cell>
          <cell r="AH13">
            <v>378696.18</v>
          </cell>
          <cell r="AJ13">
            <v>1352757.19</v>
          </cell>
          <cell r="AL13">
            <v>1089174.05</v>
          </cell>
          <cell r="AN13">
            <v>488468.04</v>
          </cell>
          <cell r="AP13">
            <v>459888.33</v>
          </cell>
          <cell r="AR13">
            <v>435649.76</v>
          </cell>
          <cell r="AT13">
            <v>554557.22</v>
          </cell>
          <cell r="AV13">
            <v>601869.68000000005</v>
          </cell>
          <cell r="AX13">
            <v>799093.12</v>
          </cell>
          <cell r="AZ13">
            <v>1277996.3700000001</v>
          </cell>
        </row>
        <row r="14">
          <cell r="C14">
            <v>53660</v>
          </cell>
          <cell r="D14">
            <v>600000</v>
          </cell>
          <cell r="E14">
            <v>1200000</v>
          </cell>
          <cell r="F14">
            <v>867735.71</v>
          </cell>
          <cell r="H14">
            <v>593554.85</v>
          </cell>
          <cell r="J14">
            <v>656513.98</v>
          </cell>
          <cell r="K14">
            <v>53.94</v>
          </cell>
          <cell r="L14">
            <v>651353.84</v>
          </cell>
          <cell r="N14">
            <v>723899.53</v>
          </cell>
          <cell r="P14">
            <v>690212.08</v>
          </cell>
          <cell r="R14">
            <v>674974.47</v>
          </cell>
          <cell r="T14">
            <v>817739.35</v>
          </cell>
          <cell r="V14">
            <v>739792.56</v>
          </cell>
          <cell r="W14">
            <v>1.99</v>
          </cell>
          <cell r="X14">
            <v>677300.71</v>
          </cell>
          <cell r="Y14">
            <v>119.14</v>
          </cell>
          <cell r="Z14">
            <v>861718.01</v>
          </cell>
          <cell r="AA14">
            <v>1.99</v>
          </cell>
          <cell r="AB14">
            <v>762812.46</v>
          </cell>
          <cell r="AC14">
            <v>14.59</v>
          </cell>
          <cell r="AD14">
            <v>765504.18</v>
          </cell>
          <cell r="AE14">
            <v>1.99</v>
          </cell>
          <cell r="AF14">
            <v>739765.46</v>
          </cell>
          <cell r="AG14">
            <v>1.99</v>
          </cell>
          <cell r="AH14">
            <v>768984.03</v>
          </cell>
          <cell r="AJ14">
            <v>678437.51</v>
          </cell>
          <cell r="AL14">
            <v>625266.74</v>
          </cell>
          <cell r="AN14">
            <v>819530.59</v>
          </cell>
          <cell r="AP14">
            <v>731517.73</v>
          </cell>
          <cell r="AR14">
            <v>860342.02</v>
          </cell>
          <cell r="AS14">
            <v>1.99</v>
          </cell>
          <cell r="AT14">
            <v>1119624.1000000001</v>
          </cell>
          <cell r="AU14">
            <v>15.98</v>
          </cell>
          <cell r="AV14">
            <v>582363.72</v>
          </cell>
          <cell r="AX14">
            <v>920851.27</v>
          </cell>
          <cell r="AY14">
            <v>14.22</v>
          </cell>
          <cell r="AZ14">
            <v>912477.01</v>
          </cell>
        </row>
        <row r="15">
          <cell r="C15">
            <v>54512</v>
          </cell>
          <cell r="D15">
            <v>1000000</v>
          </cell>
          <cell r="E15">
            <v>2000000</v>
          </cell>
          <cell r="F15">
            <v>497.89</v>
          </cell>
          <cell r="H15">
            <v>495.2</v>
          </cell>
          <cell r="J15">
            <v>492.51</v>
          </cell>
          <cell r="L15">
            <v>133.55000000000001</v>
          </cell>
          <cell r="N15">
            <v>280.55</v>
          </cell>
          <cell r="P15">
            <v>147.1</v>
          </cell>
          <cell r="R15">
            <v>131.41</v>
          </cell>
          <cell r="T15">
            <v>134.31</v>
          </cell>
          <cell r="V15">
            <v>135.01</v>
          </cell>
          <cell r="X15">
            <v>72.989999999999995</v>
          </cell>
          <cell r="Z15">
            <v>213.74</v>
          </cell>
          <cell r="AB15">
            <v>38.93</v>
          </cell>
          <cell r="AD15">
            <v>539.5</v>
          </cell>
          <cell r="AF15">
            <v>497.31</v>
          </cell>
          <cell r="AH15">
            <v>-1.95</v>
          </cell>
          <cell r="AJ15">
            <v>132.36000000000001</v>
          </cell>
          <cell r="AL15">
            <v>-15.69</v>
          </cell>
          <cell r="AN15">
            <v>118.62</v>
          </cell>
          <cell r="AP15">
            <v>134.31</v>
          </cell>
          <cell r="AR15">
            <v>56867.65</v>
          </cell>
          <cell r="AT15">
            <v>14335.29</v>
          </cell>
          <cell r="AV15">
            <v>14565.26</v>
          </cell>
          <cell r="AX15">
            <v>134.31</v>
          </cell>
          <cell r="AZ15">
            <v>134.31</v>
          </cell>
        </row>
        <row r="16">
          <cell r="C16">
            <v>85773</v>
          </cell>
          <cell r="D16">
            <v>1500000</v>
          </cell>
          <cell r="E16">
            <v>3000000</v>
          </cell>
          <cell r="F16">
            <v>169477.21</v>
          </cell>
          <cell r="G16">
            <v>2.4700000000000002</v>
          </cell>
          <cell r="H16">
            <v>87494.25</v>
          </cell>
          <cell r="I16">
            <v>2.42</v>
          </cell>
          <cell r="J16">
            <v>105575.59</v>
          </cell>
          <cell r="K16">
            <v>2.37</v>
          </cell>
          <cell r="L16">
            <v>144861.9</v>
          </cell>
          <cell r="M16">
            <v>2.33</v>
          </cell>
          <cell r="N16">
            <v>167231.56</v>
          </cell>
          <cell r="O16">
            <v>8.08</v>
          </cell>
          <cell r="P16">
            <v>141571.49</v>
          </cell>
          <cell r="Q16">
            <v>4.26</v>
          </cell>
          <cell r="R16">
            <v>166359.45000000001</v>
          </cell>
          <cell r="S16">
            <v>4.18</v>
          </cell>
          <cell r="T16">
            <v>247876.86</v>
          </cell>
          <cell r="U16">
            <v>4.09</v>
          </cell>
          <cell r="V16">
            <v>243556.72</v>
          </cell>
          <cell r="W16">
            <v>4.01</v>
          </cell>
          <cell r="X16">
            <v>233804.08</v>
          </cell>
          <cell r="Y16">
            <v>3.96</v>
          </cell>
          <cell r="Z16">
            <v>94803.91</v>
          </cell>
          <cell r="AA16">
            <v>3.93</v>
          </cell>
          <cell r="AB16">
            <v>357729.89</v>
          </cell>
          <cell r="AC16">
            <v>3.55</v>
          </cell>
          <cell r="AD16">
            <v>320191.63</v>
          </cell>
          <cell r="AE16">
            <v>3.69</v>
          </cell>
          <cell r="AF16">
            <v>191691.1</v>
          </cell>
          <cell r="AG16">
            <v>3.56</v>
          </cell>
          <cell r="AH16">
            <v>47727.09</v>
          </cell>
          <cell r="AI16">
            <v>3.33</v>
          </cell>
          <cell r="AJ16">
            <v>5275.29</v>
          </cell>
          <cell r="AK16">
            <v>3.18</v>
          </cell>
          <cell r="AL16">
            <v>12095.55</v>
          </cell>
          <cell r="AM16">
            <v>4.0599999999999996</v>
          </cell>
          <cell r="AN16">
            <v>22885.58</v>
          </cell>
          <cell r="AO16">
            <v>3.7</v>
          </cell>
          <cell r="AP16">
            <v>258657.83</v>
          </cell>
          <cell r="AR16">
            <v>169184.65</v>
          </cell>
          <cell r="AT16">
            <v>141874.37</v>
          </cell>
          <cell r="AV16">
            <v>238099.91</v>
          </cell>
          <cell r="AX16">
            <v>168647.12</v>
          </cell>
          <cell r="AZ16">
            <v>268345.43</v>
          </cell>
        </row>
        <row r="17">
          <cell r="C17">
            <v>86330</v>
          </cell>
          <cell r="D17">
            <v>2500000</v>
          </cell>
          <cell r="E17">
            <v>7500000</v>
          </cell>
          <cell r="F17">
            <v>819731.06</v>
          </cell>
          <cell r="G17">
            <v>4.9000000000000004</v>
          </cell>
          <cell r="H17">
            <v>864588.34</v>
          </cell>
          <cell r="I17">
            <v>4.8</v>
          </cell>
          <cell r="J17">
            <v>1172205.3899999999</v>
          </cell>
          <cell r="K17">
            <v>4.7</v>
          </cell>
          <cell r="L17">
            <v>1013872.13</v>
          </cell>
          <cell r="M17">
            <v>4.6100000000000003</v>
          </cell>
          <cell r="N17">
            <v>964371.3</v>
          </cell>
          <cell r="O17">
            <v>4.5199999999999996</v>
          </cell>
          <cell r="P17">
            <v>646440.6</v>
          </cell>
          <cell r="Q17">
            <v>4.43</v>
          </cell>
          <cell r="R17">
            <v>444933.07</v>
          </cell>
          <cell r="S17">
            <v>4.34</v>
          </cell>
          <cell r="T17">
            <v>1370582.97</v>
          </cell>
          <cell r="U17">
            <v>4.26</v>
          </cell>
          <cell r="V17">
            <v>1654553.36</v>
          </cell>
          <cell r="W17">
            <v>4.17</v>
          </cell>
          <cell r="X17">
            <v>1123767.78</v>
          </cell>
          <cell r="Y17">
            <v>4.09</v>
          </cell>
          <cell r="Z17">
            <v>735494.42</v>
          </cell>
          <cell r="AA17">
            <v>5.65</v>
          </cell>
          <cell r="AB17">
            <v>1084250.97</v>
          </cell>
          <cell r="AC17">
            <v>5.59</v>
          </cell>
          <cell r="AD17">
            <v>1025955.84</v>
          </cell>
          <cell r="AE17">
            <v>5.12</v>
          </cell>
          <cell r="AF17">
            <v>1313189.97</v>
          </cell>
          <cell r="AG17">
            <v>5</v>
          </cell>
          <cell r="AH17">
            <v>1637217.58</v>
          </cell>
          <cell r="AI17">
            <v>5</v>
          </cell>
          <cell r="AJ17">
            <v>1005120.76</v>
          </cell>
          <cell r="AK17">
            <v>4.4000000000000004</v>
          </cell>
          <cell r="AL17">
            <v>1771694.53</v>
          </cell>
          <cell r="AM17">
            <v>5.25</v>
          </cell>
          <cell r="AN17">
            <v>1389422.2</v>
          </cell>
          <cell r="AO17">
            <v>5.05</v>
          </cell>
          <cell r="AP17">
            <v>1354488.09</v>
          </cell>
          <cell r="AQ17">
            <v>4.9800000000000004</v>
          </cell>
          <cell r="AR17">
            <v>1950515.16</v>
          </cell>
          <cell r="AS17">
            <v>177.67</v>
          </cell>
          <cell r="AT17">
            <v>1082925.27</v>
          </cell>
          <cell r="AU17">
            <v>6.2</v>
          </cell>
          <cell r="AV17">
            <v>962398.29</v>
          </cell>
          <cell r="AW17">
            <v>6.22</v>
          </cell>
          <cell r="AX17">
            <v>1339958.32</v>
          </cell>
          <cell r="AY17">
            <v>6.38</v>
          </cell>
          <cell r="AZ17">
            <v>1239719.3</v>
          </cell>
          <cell r="BA17">
            <v>6.49</v>
          </cell>
        </row>
        <row r="18">
          <cell r="C18">
            <v>86329</v>
          </cell>
          <cell r="D18">
            <v>3000000</v>
          </cell>
          <cell r="E18">
            <v>6000000</v>
          </cell>
          <cell r="F18">
            <v>401464</v>
          </cell>
          <cell r="H18">
            <v>588268.26</v>
          </cell>
          <cell r="J18">
            <v>452159.99</v>
          </cell>
          <cell r="L18">
            <v>205886.79</v>
          </cell>
          <cell r="N18">
            <v>1002711.38</v>
          </cell>
          <cell r="P18">
            <v>172080.48</v>
          </cell>
          <cell r="R18">
            <v>396256.67</v>
          </cell>
          <cell r="T18">
            <v>233192.42</v>
          </cell>
          <cell r="V18">
            <v>317904.99</v>
          </cell>
          <cell r="X18">
            <v>302930.65000000002</v>
          </cell>
          <cell r="Z18">
            <v>375615.9</v>
          </cell>
          <cell r="AB18">
            <v>345653.66</v>
          </cell>
          <cell r="AD18">
            <v>402848.18</v>
          </cell>
          <cell r="AF18">
            <v>352854.65</v>
          </cell>
          <cell r="AH18">
            <v>481099.85</v>
          </cell>
          <cell r="AJ18">
            <v>620588.44999999995</v>
          </cell>
          <cell r="AK18">
            <v>154.13999999999999</v>
          </cell>
          <cell r="AL18">
            <v>429591.83</v>
          </cell>
          <cell r="AN18">
            <v>1107492.8600000001</v>
          </cell>
          <cell r="AP18">
            <v>696122.12</v>
          </cell>
          <cell r="AR18">
            <v>804081.63</v>
          </cell>
          <cell r="AS18">
            <v>169.91</v>
          </cell>
          <cell r="AT18">
            <v>560885.23</v>
          </cell>
          <cell r="AU18">
            <v>132.5</v>
          </cell>
          <cell r="AV18">
            <v>136330.25</v>
          </cell>
          <cell r="AX18">
            <v>832481.86</v>
          </cell>
          <cell r="AZ18">
            <v>543308.76</v>
          </cell>
        </row>
        <row r="19">
          <cell r="C19">
            <v>86524</v>
          </cell>
          <cell r="F19">
            <v>146901.88</v>
          </cell>
          <cell r="H19">
            <v>300881.48</v>
          </cell>
          <cell r="J19">
            <v>334528.96999999997</v>
          </cell>
          <cell r="L19">
            <v>360857.03</v>
          </cell>
          <cell r="N19">
            <v>173.03</v>
          </cell>
          <cell r="P19" t="str">
            <v>Baja</v>
          </cell>
          <cell r="R19" t="str">
            <v>Baja</v>
          </cell>
        </row>
        <row r="20">
          <cell r="C20">
            <v>86270</v>
          </cell>
          <cell r="F20">
            <v>134.31</v>
          </cell>
          <cell r="H20">
            <v>134.31</v>
          </cell>
          <cell r="J20">
            <v>134.31</v>
          </cell>
          <cell r="L20" t="str">
            <v>9550,92-</v>
          </cell>
          <cell r="N20">
            <v>-9356.11</v>
          </cell>
          <cell r="P20">
            <v>-9161.2999999999993</v>
          </cell>
          <cell r="R20">
            <v>-8966.49</v>
          </cell>
          <cell r="T20" t="str">
            <v>Baja</v>
          </cell>
        </row>
        <row r="21">
          <cell r="C21">
            <v>86729</v>
          </cell>
          <cell r="F21">
            <v>134.31</v>
          </cell>
          <cell r="H21">
            <v>134.31</v>
          </cell>
          <cell r="J21">
            <v>134.31</v>
          </cell>
          <cell r="L21" t="str">
            <v>72654,63-</v>
          </cell>
          <cell r="N21">
            <v>-72520.320000000007</v>
          </cell>
          <cell r="P21">
            <v>-72386.009999999995</v>
          </cell>
          <cell r="R21">
            <v>-72251.7</v>
          </cell>
          <cell r="T21" t="str">
            <v>Baja</v>
          </cell>
        </row>
        <row r="22">
          <cell r="C22">
            <v>86107</v>
          </cell>
          <cell r="D22">
            <v>900000</v>
          </cell>
          <cell r="E22">
            <v>1800000</v>
          </cell>
          <cell r="F22">
            <v>337918.44</v>
          </cell>
          <cell r="H22">
            <v>472268.63</v>
          </cell>
          <cell r="J22">
            <v>571602.35</v>
          </cell>
          <cell r="L22">
            <v>349810.72</v>
          </cell>
          <cell r="N22">
            <v>715878.29</v>
          </cell>
          <cell r="P22">
            <v>870717.39</v>
          </cell>
          <cell r="R22">
            <v>906923.5</v>
          </cell>
          <cell r="T22">
            <v>936488.71</v>
          </cell>
          <cell r="V22">
            <v>912858.62</v>
          </cell>
          <cell r="X22">
            <v>197958.03</v>
          </cell>
          <cell r="Z22">
            <v>145264.99</v>
          </cell>
          <cell r="AB22">
            <v>214698.39</v>
          </cell>
          <cell r="AD22">
            <v>329802.08</v>
          </cell>
          <cell r="AF22">
            <v>640353.99</v>
          </cell>
          <cell r="AH22">
            <v>761365.93</v>
          </cell>
          <cell r="AJ22">
            <v>985476.93</v>
          </cell>
          <cell r="AL22">
            <v>936006.68</v>
          </cell>
          <cell r="AN22">
            <v>995751.41</v>
          </cell>
          <cell r="AP22">
            <v>968919.04000000004</v>
          </cell>
          <cell r="AR22">
            <v>661882.56000000006</v>
          </cell>
          <cell r="AT22">
            <v>768847.04</v>
          </cell>
          <cell r="AV22">
            <v>664136.67000000004</v>
          </cell>
          <cell r="AX22">
            <v>655027</v>
          </cell>
          <cell r="AZ22">
            <v>834367.34</v>
          </cell>
        </row>
        <row r="23">
          <cell r="C23">
            <v>86637</v>
          </cell>
          <cell r="D23">
            <v>500000</v>
          </cell>
          <cell r="E23">
            <v>1000000</v>
          </cell>
          <cell r="F23">
            <v>152166.75</v>
          </cell>
          <cell r="H23">
            <v>177963.15</v>
          </cell>
          <cell r="J23">
            <v>211355.19</v>
          </cell>
          <cell r="L23">
            <v>242822.01</v>
          </cell>
          <cell r="N23">
            <v>276669.86</v>
          </cell>
          <cell r="P23">
            <v>304073.53000000003</v>
          </cell>
          <cell r="R23">
            <v>222312.52</v>
          </cell>
          <cell r="T23">
            <v>243021.32</v>
          </cell>
          <cell r="V23">
            <v>159892.42000000001</v>
          </cell>
          <cell r="X23">
            <v>133.72999999999999</v>
          </cell>
          <cell r="Z23">
            <v>280.36</v>
          </cell>
          <cell r="AB23">
            <v>147.35</v>
          </cell>
          <cell r="AD23">
            <v>498394.52</v>
          </cell>
          <cell r="AF23">
            <v>595523.63</v>
          </cell>
          <cell r="AH23">
            <v>611539.16</v>
          </cell>
          <cell r="AJ23">
            <v>673100.34</v>
          </cell>
          <cell r="AL23">
            <v>745101.61</v>
          </cell>
          <cell r="AN23">
            <v>801802.58</v>
          </cell>
          <cell r="AP23">
            <v>859500.93</v>
          </cell>
          <cell r="AR23">
            <v>931298.02</v>
          </cell>
          <cell r="AT23">
            <v>995672.5</v>
          </cell>
          <cell r="AV23">
            <v>1052226.03</v>
          </cell>
          <cell r="AX23">
            <v>1118877.3</v>
          </cell>
          <cell r="AZ23">
            <v>1196234.56</v>
          </cell>
        </row>
        <row r="24">
          <cell r="C24">
            <v>83452</v>
          </cell>
          <cell r="D24">
            <v>2000000</v>
          </cell>
          <cell r="E24">
            <v>4000000</v>
          </cell>
          <cell r="F24">
            <v>506169.91</v>
          </cell>
          <cell r="H24">
            <v>411235.79</v>
          </cell>
          <cell r="J24">
            <v>469369.37</v>
          </cell>
          <cell r="L24">
            <v>1214862.18</v>
          </cell>
          <cell r="N24">
            <v>1288986.55</v>
          </cell>
          <cell r="P24">
            <v>1529169.32</v>
          </cell>
          <cell r="R24">
            <v>712045.04</v>
          </cell>
          <cell r="T24">
            <v>832635.78</v>
          </cell>
          <cell r="V24">
            <v>849124.22</v>
          </cell>
          <cell r="X24">
            <v>518343.71</v>
          </cell>
          <cell r="Z24">
            <v>324154.36</v>
          </cell>
          <cell r="AB24">
            <v>286186.99</v>
          </cell>
          <cell r="AD24">
            <v>530056.73</v>
          </cell>
          <cell r="AF24">
            <v>741933.67</v>
          </cell>
          <cell r="AH24">
            <v>542961.71</v>
          </cell>
          <cell r="AJ24">
            <v>736104.99</v>
          </cell>
          <cell r="AL24">
            <v>1252977.01</v>
          </cell>
          <cell r="AN24">
            <v>298584.09000000003</v>
          </cell>
          <cell r="AP24">
            <v>496525.49</v>
          </cell>
          <cell r="AR24">
            <v>593115.69999999995</v>
          </cell>
          <cell r="AT24">
            <v>768967.54</v>
          </cell>
          <cell r="AV24">
            <v>1207122.2</v>
          </cell>
          <cell r="AX24">
            <v>998680.72</v>
          </cell>
          <cell r="AZ24">
            <v>729857.09</v>
          </cell>
        </row>
        <row r="25">
          <cell r="C25">
            <v>87020</v>
          </cell>
          <cell r="D25">
            <v>3000000</v>
          </cell>
          <cell r="E25">
            <v>6000000</v>
          </cell>
          <cell r="F25">
            <v>34509.339999999997</v>
          </cell>
          <cell r="G25">
            <v>174.06</v>
          </cell>
          <cell r="H25">
            <v>8809.33</v>
          </cell>
          <cell r="I25">
            <v>739.72</v>
          </cell>
          <cell r="J25">
            <v>8809.33</v>
          </cell>
          <cell r="K25">
            <v>317.22000000000003</v>
          </cell>
          <cell r="L25">
            <v>339219.74</v>
          </cell>
          <cell r="M25">
            <v>356.42</v>
          </cell>
          <cell r="N25">
            <v>61879.01</v>
          </cell>
          <cell r="O25">
            <v>0.14000000000000001</v>
          </cell>
          <cell r="P25">
            <v>134.31</v>
          </cell>
          <cell r="R25">
            <v>134.31</v>
          </cell>
          <cell r="T25">
            <v>134.31</v>
          </cell>
          <cell r="V25">
            <v>134.31</v>
          </cell>
          <cell r="X25">
            <v>134.31</v>
          </cell>
          <cell r="Z25">
            <v>418396.54</v>
          </cell>
          <cell r="AA25">
            <v>0.14000000000000001</v>
          </cell>
          <cell r="AB25">
            <v>173.03</v>
          </cell>
          <cell r="AD25">
            <v>630780.35</v>
          </cell>
          <cell r="AE25">
            <v>1812.09</v>
          </cell>
          <cell r="AF25">
            <v>456495.82</v>
          </cell>
          <cell r="AG25">
            <v>1276.33</v>
          </cell>
          <cell r="AH25">
            <v>120569.51</v>
          </cell>
          <cell r="AI25">
            <v>304.91000000000003</v>
          </cell>
          <cell r="AJ25">
            <v>280325.19</v>
          </cell>
          <cell r="AK25">
            <v>691.71</v>
          </cell>
          <cell r="AL25">
            <v>437047.54</v>
          </cell>
          <cell r="AM25">
            <v>1023.08</v>
          </cell>
          <cell r="AN25">
            <v>1648.85</v>
          </cell>
          <cell r="AO25">
            <v>1.99</v>
          </cell>
          <cell r="AP25">
            <v>810.03</v>
          </cell>
          <cell r="AQ25">
            <v>1.99</v>
          </cell>
          <cell r="AR25">
            <v>801.16</v>
          </cell>
          <cell r="AS25">
            <v>1.99</v>
          </cell>
          <cell r="AT25">
            <v>1590.35</v>
          </cell>
          <cell r="AU25">
            <v>1.99</v>
          </cell>
          <cell r="AV25">
            <v>527552.68999999994</v>
          </cell>
          <cell r="AW25">
            <v>1255.1300000000001</v>
          </cell>
          <cell r="AX25">
            <v>77054.87</v>
          </cell>
          <cell r="AY25">
            <v>184.61</v>
          </cell>
          <cell r="AZ25">
            <v>35817.269999999997</v>
          </cell>
          <cell r="BA25">
            <v>83.86</v>
          </cell>
        </row>
        <row r="26">
          <cell r="C26">
            <v>59053</v>
          </cell>
          <cell r="D26">
            <v>1000000</v>
          </cell>
          <cell r="E26">
            <v>2000000</v>
          </cell>
          <cell r="L26">
            <v>104125.41</v>
          </cell>
          <cell r="N26">
            <v>102391.2</v>
          </cell>
          <cell r="P26">
            <v>208953.96</v>
          </cell>
          <cell r="R26">
            <v>167408.06</v>
          </cell>
          <cell r="T26">
            <v>192129.28</v>
          </cell>
          <cell r="V26">
            <v>155089.51999999999</v>
          </cell>
          <cell r="X26">
            <v>85388.85</v>
          </cell>
          <cell r="Z26">
            <v>321749.28000000003</v>
          </cell>
          <cell r="AB26">
            <v>620432.94999999995</v>
          </cell>
          <cell r="AD26">
            <v>146240.75</v>
          </cell>
          <cell r="AF26">
            <v>184405.68</v>
          </cell>
          <cell r="AG26">
            <v>5.05</v>
          </cell>
          <cell r="AH26">
            <v>346079.39</v>
          </cell>
          <cell r="AJ26">
            <v>434309.1</v>
          </cell>
          <cell r="AL26">
            <v>673126.76</v>
          </cell>
          <cell r="AM26">
            <v>4.96</v>
          </cell>
          <cell r="AN26">
            <v>574438.84</v>
          </cell>
          <cell r="AP26">
            <v>319641.36</v>
          </cell>
          <cell r="AR26">
            <v>569287.30000000005</v>
          </cell>
          <cell r="AS26">
            <v>6.25</v>
          </cell>
          <cell r="AT26">
            <v>545516.49</v>
          </cell>
          <cell r="AU26">
            <v>6.13</v>
          </cell>
          <cell r="AV26">
            <v>1040034.77</v>
          </cell>
          <cell r="AW26">
            <v>6.45</v>
          </cell>
          <cell r="AX26">
            <v>861079</v>
          </cell>
          <cell r="AY26">
            <v>6.46</v>
          </cell>
          <cell r="AZ26">
            <v>339373.2</v>
          </cell>
          <cell r="BA26">
            <v>6.59</v>
          </cell>
        </row>
        <row r="27">
          <cell r="C27">
            <v>87039</v>
          </cell>
          <cell r="D27">
            <v>800000</v>
          </cell>
          <cell r="E27">
            <v>1600000</v>
          </cell>
          <cell r="L27">
            <v>173.03</v>
          </cell>
          <cell r="N27">
            <v>173.03</v>
          </cell>
          <cell r="P27">
            <v>173.03</v>
          </cell>
          <cell r="R27">
            <v>63133.31</v>
          </cell>
          <cell r="T27">
            <v>134.31</v>
          </cell>
          <cell r="V27">
            <v>134.31</v>
          </cell>
          <cell r="X27">
            <v>134.31</v>
          </cell>
          <cell r="Z27">
            <v>134.31</v>
          </cell>
          <cell r="AB27">
            <v>134.31</v>
          </cell>
          <cell r="AD27">
            <v>134.31</v>
          </cell>
          <cell r="AF27">
            <v>134.31</v>
          </cell>
          <cell r="AH27">
            <v>173.03</v>
          </cell>
          <cell r="AJ27">
            <v>173.03</v>
          </cell>
          <cell r="AL27">
            <v>173.03</v>
          </cell>
          <cell r="AN27">
            <v>134.31</v>
          </cell>
          <cell r="AP27">
            <v>134.31</v>
          </cell>
          <cell r="AR27">
            <v>134.31</v>
          </cell>
          <cell r="AT27">
            <v>134.31</v>
          </cell>
          <cell r="AV27">
            <v>134.31</v>
          </cell>
          <cell r="AX27">
            <v>134.31</v>
          </cell>
          <cell r="AZ27">
            <v>134.31</v>
          </cell>
        </row>
        <row r="28">
          <cell r="C28">
            <v>55127</v>
          </cell>
          <cell r="D28">
            <v>2400</v>
          </cell>
          <cell r="E28">
            <v>4800</v>
          </cell>
          <cell r="F28">
            <v>134.31</v>
          </cell>
          <cell r="H28">
            <v>134.31</v>
          </cell>
          <cell r="J28">
            <v>134.31</v>
          </cell>
          <cell r="L28">
            <v>497.31</v>
          </cell>
          <cell r="N28">
            <v>497.31</v>
          </cell>
          <cell r="P28">
            <v>497.31</v>
          </cell>
          <cell r="R28">
            <v>134.31</v>
          </cell>
          <cell r="T28">
            <v>134.31</v>
          </cell>
          <cell r="V28">
            <v>134.31</v>
          </cell>
          <cell r="X28">
            <v>134.31</v>
          </cell>
          <cell r="Z28">
            <v>134.31</v>
          </cell>
          <cell r="AB28">
            <v>134.31</v>
          </cell>
          <cell r="AD28">
            <v>134.31</v>
          </cell>
          <cell r="AF28">
            <v>134.31</v>
          </cell>
          <cell r="AH28">
            <v>134.31</v>
          </cell>
          <cell r="AJ28">
            <v>134.31</v>
          </cell>
          <cell r="AL28">
            <v>497.31</v>
          </cell>
          <cell r="AN28">
            <v>497.31</v>
          </cell>
          <cell r="AP28">
            <v>134.31</v>
          </cell>
          <cell r="AR28">
            <v>134.31</v>
          </cell>
          <cell r="AT28">
            <v>134.31</v>
          </cell>
          <cell r="AV28">
            <v>134.31</v>
          </cell>
          <cell r="AX28">
            <v>134.31</v>
          </cell>
          <cell r="AZ28">
            <v>134.31</v>
          </cell>
        </row>
        <row r="29">
          <cell r="C29">
            <v>83538</v>
          </cell>
          <cell r="D29">
            <v>900000</v>
          </cell>
          <cell r="E29">
            <v>1800000</v>
          </cell>
          <cell r="F29">
            <v>228789.4</v>
          </cell>
          <cell r="G29">
            <v>3.37</v>
          </cell>
          <cell r="H29">
            <v>391420.83</v>
          </cell>
          <cell r="I29">
            <v>252.1</v>
          </cell>
          <cell r="J29">
            <v>646907.9</v>
          </cell>
          <cell r="K29">
            <v>39.6</v>
          </cell>
          <cell r="L29">
            <v>669051.01</v>
          </cell>
          <cell r="N29">
            <v>694983.84</v>
          </cell>
          <cell r="O29">
            <v>37</v>
          </cell>
          <cell r="P29">
            <v>754827.7</v>
          </cell>
          <cell r="R29">
            <v>824202.78</v>
          </cell>
          <cell r="T29">
            <v>865609.8</v>
          </cell>
          <cell r="V29">
            <v>837388.65</v>
          </cell>
          <cell r="W29">
            <v>120.56</v>
          </cell>
          <cell r="X29">
            <v>863952.45</v>
          </cell>
          <cell r="Z29">
            <v>796092.23</v>
          </cell>
          <cell r="AB29">
            <v>741005.54</v>
          </cell>
          <cell r="AC29">
            <v>16.510000000000002</v>
          </cell>
          <cell r="AD29">
            <v>664881.13</v>
          </cell>
          <cell r="AF29">
            <v>608571.28</v>
          </cell>
          <cell r="AG29">
            <v>32.46</v>
          </cell>
          <cell r="AH29">
            <v>559721.02</v>
          </cell>
          <cell r="AJ29">
            <v>513028.31</v>
          </cell>
          <cell r="AL29">
            <v>464507.62</v>
          </cell>
          <cell r="AM29">
            <v>34.85</v>
          </cell>
          <cell r="AN29">
            <v>486065.65</v>
          </cell>
          <cell r="AO29">
            <v>13.37</v>
          </cell>
          <cell r="AP29">
            <v>449256.17</v>
          </cell>
          <cell r="AQ29">
            <v>13.25</v>
          </cell>
          <cell r="AR29">
            <v>411608.19</v>
          </cell>
          <cell r="AT29">
            <v>288480.46999999997</v>
          </cell>
          <cell r="AV29">
            <v>205171.45</v>
          </cell>
          <cell r="AX29">
            <v>154624.01999999999</v>
          </cell>
          <cell r="AY29">
            <v>13.48</v>
          </cell>
          <cell r="AZ29">
            <v>137330.54</v>
          </cell>
        </row>
        <row r="30">
          <cell r="C30">
            <v>60100</v>
          </cell>
          <cell r="D30">
            <v>100000</v>
          </cell>
          <cell r="E30">
            <v>200000</v>
          </cell>
          <cell r="F30">
            <v>134.31</v>
          </cell>
          <cell r="H30">
            <v>134.31</v>
          </cell>
          <cell r="J30">
            <v>134.31</v>
          </cell>
          <cell r="L30">
            <v>134.31</v>
          </cell>
          <cell r="N30">
            <v>134.31</v>
          </cell>
          <cell r="P30">
            <v>134.31</v>
          </cell>
          <cell r="R30">
            <v>185.13</v>
          </cell>
          <cell r="T30">
            <v>185.13</v>
          </cell>
          <cell r="V30">
            <v>185.13</v>
          </cell>
          <cell r="X30">
            <v>134.31</v>
          </cell>
          <cell r="Z30">
            <v>134.31</v>
          </cell>
          <cell r="AB30">
            <v>134.31</v>
          </cell>
          <cell r="AD30">
            <v>134.31</v>
          </cell>
          <cell r="AF30">
            <v>134.31</v>
          </cell>
          <cell r="AH30">
            <v>134.31</v>
          </cell>
          <cell r="AJ30">
            <v>134.31</v>
          </cell>
          <cell r="AL30">
            <v>134.31</v>
          </cell>
          <cell r="AN30">
            <v>134.31</v>
          </cell>
          <cell r="AP30">
            <v>185.13</v>
          </cell>
          <cell r="AR30">
            <v>185.13</v>
          </cell>
          <cell r="AT30">
            <v>185.13</v>
          </cell>
          <cell r="AV30">
            <v>134.31</v>
          </cell>
          <cell r="AX30">
            <v>134.31</v>
          </cell>
          <cell r="AZ30">
            <v>134.31</v>
          </cell>
        </row>
        <row r="31">
          <cell r="C31">
            <v>59128</v>
          </cell>
          <cell r="D31">
            <v>2500000</v>
          </cell>
          <cell r="E31">
            <v>5000000</v>
          </cell>
          <cell r="F31">
            <v>444376.87</v>
          </cell>
          <cell r="H31">
            <v>706235.79</v>
          </cell>
          <cell r="I31">
            <v>136.25</v>
          </cell>
          <cell r="J31">
            <v>422710.56</v>
          </cell>
          <cell r="K31">
            <v>21.62</v>
          </cell>
          <cell r="L31">
            <v>517818.83</v>
          </cell>
          <cell r="M31">
            <v>159.88</v>
          </cell>
          <cell r="N31">
            <v>690574.83</v>
          </cell>
          <cell r="P31">
            <v>936973.27</v>
          </cell>
          <cell r="Q31">
            <v>150.36000000000001</v>
          </cell>
          <cell r="R31">
            <v>541465.51</v>
          </cell>
          <cell r="S31">
            <v>258.2</v>
          </cell>
          <cell r="T31">
            <v>923799.41</v>
          </cell>
          <cell r="V31">
            <v>753686.86</v>
          </cell>
          <cell r="W31">
            <v>48.8</v>
          </cell>
          <cell r="X31">
            <v>710058.54</v>
          </cell>
          <cell r="Y31">
            <v>203.95</v>
          </cell>
          <cell r="Z31">
            <v>3912626.32</v>
          </cell>
          <cell r="AB31">
            <v>562252.85</v>
          </cell>
          <cell r="AC31">
            <v>111.29</v>
          </cell>
          <cell r="AD31">
            <v>746831.7</v>
          </cell>
          <cell r="AE31">
            <v>203.1</v>
          </cell>
          <cell r="AF31">
            <v>1104248.83</v>
          </cell>
          <cell r="AG31">
            <v>186.38</v>
          </cell>
          <cell r="AH31">
            <v>847517.01</v>
          </cell>
          <cell r="AI31">
            <v>66.680000000000007</v>
          </cell>
          <cell r="AJ31">
            <v>1074548.04</v>
          </cell>
          <cell r="AK31">
            <v>125.23</v>
          </cell>
          <cell r="AL31">
            <v>772838.87</v>
          </cell>
          <cell r="AN31">
            <v>931744.82</v>
          </cell>
          <cell r="AP31">
            <v>1210078.79</v>
          </cell>
          <cell r="AR31">
            <v>1307250.8700000001</v>
          </cell>
          <cell r="AS31">
            <v>56.79</v>
          </cell>
          <cell r="AT31">
            <v>618783.76</v>
          </cell>
          <cell r="AU31">
            <v>173.89</v>
          </cell>
          <cell r="AV31">
            <v>601726.06999999995</v>
          </cell>
          <cell r="AW31">
            <v>41.99</v>
          </cell>
          <cell r="AX31">
            <v>1138404.8</v>
          </cell>
          <cell r="AY31">
            <v>389.79</v>
          </cell>
          <cell r="AZ31">
            <v>886355.17</v>
          </cell>
          <cell r="BA31">
            <v>133.19999999999999</v>
          </cell>
        </row>
        <row r="32">
          <cell r="C32">
            <v>82141</v>
          </cell>
          <cell r="D32">
            <v>2000000</v>
          </cell>
          <cell r="E32">
            <v>4000000</v>
          </cell>
          <cell r="F32">
            <v>241034.39</v>
          </cell>
          <cell r="G32">
            <v>1.47</v>
          </cell>
          <cell r="H32">
            <v>299109.37</v>
          </cell>
          <cell r="I32">
            <v>1.89</v>
          </cell>
          <cell r="J32">
            <v>316229.14</v>
          </cell>
          <cell r="K32">
            <v>1.86</v>
          </cell>
          <cell r="L32">
            <v>355551.96</v>
          </cell>
          <cell r="M32">
            <v>101.8</v>
          </cell>
          <cell r="N32">
            <v>343729.8</v>
          </cell>
          <cell r="O32">
            <v>3.46</v>
          </cell>
          <cell r="P32">
            <v>361820.21</v>
          </cell>
          <cell r="Q32">
            <v>3.4</v>
          </cell>
          <cell r="R32">
            <v>383529.68</v>
          </cell>
          <cell r="S32">
            <v>18.309999999999999</v>
          </cell>
          <cell r="T32">
            <v>389455.85</v>
          </cell>
          <cell r="U32">
            <v>3.26</v>
          </cell>
          <cell r="V32">
            <v>-18305.919999999998</v>
          </cell>
          <cell r="W32">
            <v>3.19</v>
          </cell>
          <cell r="X32">
            <v>395004.53</v>
          </cell>
          <cell r="Y32">
            <v>3.13</v>
          </cell>
          <cell r="Z32">
            <v>489994.65</v>
          </cell>
          <cell r="AA32">
            <v>3.1</v>
          </cell>
          <cell r="AB32">
            <v>471975.42</v>
          </cell>
          <cell r="AC32">
            <v>8.69</v>
          </cell>
          <cell r="AD32">
            <v>465886.33</v>
          </cell>
          <cell r="AE32">
            <v>2.74</v>
          </cell>
          <cell r="AF32">
            <v>431296.46</v>
          </cell>
          <cell r="AG32">
            <v>17.16</v>
          </cell>
          <cell r="AH32">
            <v>488436.5</v>
          </cell>
          <cell r="AI32">
            <v>2.66</v>
          </cell>
          <cell r="AJ32">
            <v>484640.93</v>
          </cell>
          <cell r="AK32">
            <v>72.459999999999994</v>
          </cell>
          <cell r="AL32">
            <v>528349.87</v>
          </cell>
          <cell r="AM32">
            <v>17.21</v>
          </cell>
          <cell r="AN32">
            <v>446119.4</v>
          </cell>
          <cell r="AO32">
            <v>17.940000000000001</v>
          </cell>
          <cell r="AP32">
            <v>504796.06</v>
          </cell>
          <cell r="AQ32">
            <v>3.03</v>
          </cell>
          <cell r="AR32">
            <v>546846.98</v>
          </cell>
          <cell r="AS32">
            <v>20.68</v>
          </cell>
          <cell r="AT32">
            <v>476268.9</v>
          </cell>
          <cell r="AU32">
            <v>20.47</v>
          </cell>
          <cell r="AV32">
            <v>553264.35</v>
          </cell>
          <cell r="AW32">
            <v>3.08</v>
          </cell>
          <cell r="AX32">
            <v>541523.9</v>
          </cell>
          <cell r="AY32">
            <v>21.37</v>
          </cell>
          <cell r="AZ32">
            <v>662546.48</v>
          </cell>
          <cell r="BA32">
            <v>26.73</v>
          </cell>
        </row>
        <row r="33">
          <cell r="C33">
            <v>6702</v>
          </cell>
          <cell r="D33">
            <v>4000000</v>
          </cell>
          <cell r="E33">
            <v>12000000</v>
          </cell>
          <cell r="F33">
            <v>2466632.19</v>
          </cell>
          <cell r="G33">
            <v>17</v>
          </cell>
          <cell r="H33">
            <v>3954741.43</v>
          </cell>
          <cell r="I33">
            <v>179.17</v>
          </cell>
          <cell r="J33">
            <v>975608.9</v>
          </cell>
          <cell r="K33">
            <v>345.4</v>
          </cell>
          <cell r="L33">
            <v>2452566.88</v>
          </cell>
          <cell r="M33">
            <v>50.09</v>
          </cell>
          <cell r="N33">
            <v>1788381.14</v>
          </cell>
          <cell r="O33">
            <v>181.61</v>
          </cell>
          <cell r="P33">
            <v>3463871.94</v>
          </cell>
          <cell r="Q33">
            <v>344.75</v>
          </cell>
          <cell r="R33">
            <v>3637977.3</v>
          </cell>
          <cell r="S33">
            <v>17.87</v>
          </cell>
          <cell r="T33">
            <v>3294448.05</v>
          </cell>
          <cell r="U33">
            <v>198.98</v>
          </cell>
          <cell r="V33">
            <v>3510326.24</v>
          </cell>
          <cell r="W33">
            <v>568.12</v>
          </cell>
          <cell r="X33">
            <v>2758587.9</v>
          </cell>
          <cell r="Y33">
            <v>1120.02</v>
          </cell>
          <cell r="Z33">
            <v>3142405.6</v>
          </cell>
          <cell r="AA33">
            <v>203.14</v>
          </cell>
          <cell r="AB33">
            <v>3849577.29</v>
          </cell>
          <cell r="AC33">
            <v>208.86</v>
          </cell>
          <cell r="AD33">
            <v>2336153.96</v>
          </cell>
          <cell r="AE33">
            <v>41.52</v>
          </cell>
          <cell r="AF33">
            <v>2867319.03</v>
          </cell>
          <cell r="AG33">
            <v>40.74</v>
          </cell>
          <cell r="AH33">
            <v>2809432.41</v>
          </cell>
          <cell r="AI33">
            <v>20.52</v>
          </cell>
          <cell r="AJ33">
            <v>3070187.66</v>
          </cell>
          <cell r="AK33">
            <v>199.34</v>
          </cell>
          <cell r="AL33">
            <v>3259225.55</v>
          </cell>
          <cell r="AM33">
            <v>255.27</v>
          </cell>
          <cell r="AN33">
            <v>2733406.16</v>
          </cell>
          <cell r="AO33">
            <v>17.39</v>
          </cell>
          <cell r="AP33">
            <v>5583881.5999999996</v>
          </cell>
          <cell r="AQ33">
            <v>20.149999999999999</v>
          </cell>
          <cell r="AR33">
            <v>3226944.13</v>
          </cell>
          <cell r="AS33">
            <v>38.25</v>
          </cell>
          <cell r="AT33">
            <v>3443315.76</v>
          </cell>
          <cell r="AU33">
            <v>22.2</v>
          </cell>
          <cell r="AV33">
            <v>3349954.72</v>
          </cell>
          <cell r="AW33">
            <v>22.36</v>
          </cell>
          <cell r="AX33">
            <v>2913892.08</v>
          </cell>
          <cell r="AY33">
            <v>22.7</v>
          </cell>
          <cell r="AZ33">
            <v>3885614.23</v>
          </cell>
          <cell r="BA33">
            <v>22.97</v>
          </cell>
        </row>
        <row r="34">
          <cell r="C34">
            <v>54434</v>
          </cell>
          <cell r="D34">
            <v>10000</v>
          </cell>
          <cell r="E34">
            <v>20000</v>
          </cell>
          <cell r="F34">
            <v>134.31</v>
          </cell>
          <cell r="H34">
            <v>134.31</v>
          </cell>
          <cell r="J34">
            <v>134.31</v>
          </cell>
          <cell r="L34" t="str">
            <v>905,73-</v>
          </cell>
          <cell r="N34">
            <v>-771.42</v>
          </cell>
          <cell r="P34">
            <v>-637.11</v>
          </cell>
          <cell r="R34">
            <v>-139.80000000000001</v>
          </cell>
          <cell r="T34">
            <v>357.51</v>
          </cell>
          <cell r="V34">
            <v>896.66</v>
          </cell>
          <cell r="X34">
            <v>1119.53</v>
          </cell>
          <cell r="Z34">
            <v>1347.08</v>
          </cell>
          <cell r="AB34">
            <v>135.53</v>
          </cell>
          <cell r="AD34">
            <v>135.53</v>
          </cell>
          <cell r="AF34">
            <v>282.79000000000002</v>
          </cell>
          <cell r="AH34">
            <v>299.33</v>
          </cell>
          <cell r="AJ34">
            <v>143.04</v>
          </cell>
          <cell r="AL34">
            <v>136.19</v>
          </cell>
          <cell r="AN34">
            <v>134.31</v>
          </cell>
          <cell r="AP34">
            <v>497.31</v>
          </cell>
          <cell r="AR34">
            <v>497.31</v>
          </cell>
          <cell r="AT34">
            <v>497.31</v>
          </cell>
          <cell r="AV34">
            <v>134.31</v>
          </cell>
          <cell r="AX34">
            <v>134.31</v>
          </cell>
          <cell r="AZ34">
            <v>134.31</v>
          </cell>
        </row>
        <row r="35">
          <cell r="C35">
            <v>23008</v>
          </cell>
          <cell r="D35">
            <v>600000</v>
          </cell>
          <cell r="E35">
            <v>1200000</v>
          </cell>
          <cell r="F35">
            <v>11812.64</v>
          </cell>
          <cell r="H35">
            <v>1024.6300000000001</v>
          </cell>
          <cell r="J35">
            <v>1271.4000000000001</v>
          </cell>
          <cell r="L35">
            <v>1512.37</v>
          </cell>
          <cell r="N35">
            <v>-1651.15</v>
          </cell>
          <cell r="P35">
            <v>-1516.84</v>
          </cell>
          <cell r="R35">
            <v>-1019.53</v>
          </cell>
          <cell r="T35">
            <v>4828.04</v>
          </cell>
          <cell r="U35">
            <v>17.34</v>
          </cell>
          <cell r="V35">
            <v>26053.65</v>
          </cell>
          <cell r="X35">
            <v>950.84</v>
          </cell>
          <cell r="Z35">
            <v>1111.1199999999999</v>
          </cell>
          <cell r="AB35">
            <v>45.43</v>
          </cell>
          <cell r="AD35">
            <v>184.08</v>
          </cell>
          <cell r="AF35">
            <v>335.66</v>
          </cell>
          <cell r="AH35">
            <v>-48.21</v>
          </cell>
          <cell r="AJ35">
            <v>86.1</v>
          </cell>
          <cell r="AL35">
            <v>135.49</v>
          </cell>
          <cell r="AN35">
            <v>134.31</v>
          </cell>
          <cell r="AP35">
            <v>497.31</v>
          </cell>
          <cell r="AR35">
            <v>57497.31</v>
          </cell>
          <cell r="AT35">
            <v>57497.31</v>
          </cell>
          <cell r="AV35">
            <v>156745.26999999999</v>
          </cell>
          <cell r="AX35">
            <v>134.31</v>
          </cell>
          <cell r="AZ35">
            <v>134.31</v>
          </cell>
        </row>
        <row r="36">
          <cell r="C36">
            <v>7810</v>
          </cell>
          <cell r="D36">
            <v>450000</v>
          </cell>
          <cell r="E36">
            <v>900000</v>
          </cell>
          <cell r="F36">
            <v>48824.4</v>
          </cell>
          <cell r="H36">
            <v>73549.63</v>
          </cell>
          <cell r="J36">
            <v>124592.99</v>
          </cell>
          <cell r="L36">
            <v>181793.64</v>
          </cell>
          <cell r="N36">
            <v>56416.18</v>
          </cell>
          <cell r="P36">
            <v>55728.46</v>
          </cell>
          <cell r="R36">
            <v>128258.08</v>
          </cell>
          <cell r="T36">
            <v>418584.75</v>
          </cell>
          <cell r="V36">
            <v>548189.66</v>
          </cell>
          <cell r="X36">
            <v>52763.21</v>
          </cell>
          <cell r="Z36">
            <v>72097.039999999994</v>
          </cell>
          <cell r="AB36">
            <v>93548.65</v>
          </cell>
          <cell r="AD36">
            <v>240929.35</v>
          </cell>
          <cell r="AF36">
            <v>106609.81</v>
          </cell>
          <cell r="AH36">
            <v>88903.44</v>
          </cell>
          <cell r="AJ36">
            <v>56532.78</v>
          </cell>
          <cell r="AL36">
            <v>73702.78</v>
          </cell>
          <cell r="AM36">
            <v>36.979999999999997</v>
          </cell>
          <cell r="AN36">
            <v>59207.07</v>
          </cell>
          <cell r="AP36">
            <v>60894.77</v>
          </cell>
          <cell r="AR36">
            <v>114857.89</v>
          </cell>
          <cell r="AT36">
            <v>94171.11</v>
          </cell>
          <cell r="AV36">
            <v>97776.29</v>
          </cell>
          <cell r="AX36">
            <v>72965.63</v>
          </cell>
          <cell r="AZ36">
            <v>71345.55</v>
          </cell>
        </row>
        <row r="37">
          <cell r="C37">
            <v>131</v>
          </cell>
          <cell r="D37">
            <v>800000</v>
          </cell>
          <cell r="E37">
            <v>1600000</v>
          </cell>
          <cell r="F37">
            <v>53018.92</v>
          </cell>
          <cell r="H37">
            <v>56989.52</v>
          </cell>
          <cell r="J37">
            <v>57315.6</v>
          </cell>
          <cell r="L37">
            <v>62520.65</v>
          </cell>
          <cell r="N37">
            <v>65616.399999999994</v>
          </cell>
          <cell r="P37">
            <v>66309.73</v>
          </cell>
          <cell r="R37">
            <v>44296.75</v>
          </cell>
          <cell r="T37">
            <v>100346.27</v>
          </cell>
          <cell r="V37">
            <v>90984.93</v>
          </cell>
          <cell r="X37">
            <v>91970.96</v>
          </cell>
          <cell r="Z37">
            <v>90717.7</v>
          </cell>
          <cell r="AB37">
            <v>94908.38</v>
          </cell>
          <cell r="AD37">
            <v>64319.42</v>
          </cell>
          <cell r="AF37">
            <v>123590.9</v>
          </cell>
          <cell r="AH37">
            <v>96054.9</v>
          </cell>
          <cell r="AJ37">
            <v>99874.16</v>
          </cell>
          <cell r="AL37">
            <v>135018.51999999999</v>
          </cell>
          <cell r="AN37">
            <v>103511.2</v>
          </cell>
          <cell r="AP37">
            <v>104436.57</v>
          </cell>
          <cell r="AR37">
            <v>116111.33</v>
          </cell>
          <cell r="AT37">
            <v>117303.03999999999</v>
          </cell>
          <cell r="AV37">
            <v>118517.71</v>
          </cell>
          <cell r="AX37">
            <v>174718.49</v>
          </cell>
          <cell r="AY37">
            <v>115.18</v>
          </cell>
          <cell r="AZ37">
            <v>144643.43</v>
          </cell>
        </row>
        <row r="38">
          <cell r="C38">
            <v>490</v>
          </cell>
          <cell r="D38">
            <v>110000</v>
          </cell>
          <cell r="E38">
            <v>220000</v>
          </cell>
          <cell r="F38">
            <v>15422.63</v>
          </cell>
          <cell r="H38">
            <v>15422.63</v>
          </cell>
          <cell r="J38">
            <v>15422.63</v>
          </cell>
          <cell r="L38">
            <v>15422.63</v>
          </cell>
          <cell r="N38">
            <v>15422.63</v>
          </cell>
          <cell r="P38">
            <v>15422.63</v>
          </cell>
          <cell r="R38">
            <v>15428.05</v>
          </cell>
          <cell r="T38">
            <v>14652.13</v>
          </cell>
          <cell r="V38">
            <v>14652.13</v>
          </cell>
          <cell r="X38">
            <v>20384.71</v>
          </cell>
          <cell r="Z38">
            <v>20384.71</v>
          </cell>
          <cell r="AB38">
            <v>-614.07000000000005</v>
          </cell>
          <cell r="AD38">
            <v>6677.46</v>
          </cell>
          <cell r="AE38">
            <v>11.86</v>
          </cell>
          <cell r="AF38">
            <v>20573.7</v>
          </cell>
          <cell r="AH38">
            <v>20384.71</v>
          </cell>
          <cell r="AJ38">
            <v>24159.71</v>
          </cell>
          <cell r="AL38">
            <v>8908.2000000000007</v>
          </cell>
          <cell r="AM38">
            <v>11.81</v>
          </cell>
          <cell r="AN38">
            <v>8084.06</v>
          </cell>
          <cell r="AO38">
            <v>10.78</v>
          </cell>
          <cell r="AP38">
            <v>8718.16</v>
          </cell>
          <cell r="AQ38">
            <v>11.23</v>
          </cell>
          <cell r="AR38">
            <v>30443.67</v>
          </cell>
          <cell r="AT38">
            <v>10630.22</v>
          </cell>
          <cell r="AU38">
            <v>13.95</v>
          </cell>
          <cell r="AV38">
            <v>10665.68</v>
          </cell>
          <cell r="AW38">
            <v>14.65</v>
          </cell>
          <cell r="AX38">
            <v>30095.14</v>
          </cell>
          <cell r="AZ38">
            <v>10253.16</v>
          </cell>
          <cell r="BA38">
            <v>14.45</v>
          </cell>
        </row>
        <row r="39">
          <cell r="C39">
            <v>14998</v>
          </cell>
          <cell r="D39">
            <v>3500000</v>
          </cell>
          <cell r="E39">
            <v>7000000</v>
          </cell>
          <cell r="F39">
            <v>361718.9</v>
          </cell>
          <cell r="H39">
            <v>304190.14</v>
          </cell>
          <cell r="J39">
            <v>504524.87</v>
          </cell>
          <cell r="L39">
            <v>389836.13</v>
          </cell>
          <cell r="N39">
            <v>487224.13</v>
          </cell>
          <cell r="P39">
            <v>309004.39</v>
          </cell>
          <cell r="R39">
            <v>429559.86</v>
          </cell>
          <cell r="T39">
            <v>507839.52</v>
          </cell>
          <cell r="V39">
            <v>534520.07999999996</v>
          </cell>
          <cell r="X39">
            <v>475496.29</v>
          </cell>
          <cell r="Y39">
            <v>9.9</v>
          </cell>
          <cell r="Z39">
            <v>446845.35</v>
          </cell>
          <cell r="AB39">
            <v>520084.43</v>
          </cell>
          <cell r="AD39">
            <v>745824.73</v>
          </cell>
          <cell r="AF39">
            <v>1088842.68</v>
          </cell>
          <cell r="AH39">
            <v>859443.05</v>
          </cell>
          <cell r="AI39">
            <v>0.2</v>
          </cell>
          <cell r="AJ39">
            <v>676419.65</v>
          </cell>
          <cell r="AK39">
            <v>1.83</v>
          </cell>
          <cell r="AL39">
            <v>729597.7</v>
          </cell>
          <cell r="AM39">
            <v>1.84</v>
          </cell>
          <cell r="AN39">
            <v>439588.39</v>
          </cell>
          <cell r="AO39">
            <v>2.3199999999999998</v>
          </cell>
          <cell r="AP39">
            <v>719516.47</v>
          </cell>
          <cell r="AQ39">
            <v>128.75</v>
          </cell>
          <cell r="AR39">
            <v>911335.85</v>
          </cell>
          <cell r="AS39">
            <v>2.27</v>
          </cell>
          <cell r="AT39">
            <v>1139180.25</v>
          </cell>
          <cell r="AU39">
            <v>4.1900000000000004</v>
          </cell>
          <cell r="AV39">
            <v>638445.37</v>
          </cell>
          <cell r="AW39">
            <v>32.229999999999997</v>
          </cell>
          <cell r="AX39">
            <v>1353128.8</v>
          </cell>
          <cell r="AZ39">
            <v>913430.9</v>
          </cell>
          <cell r="BA39">
            <v>2.4500000000000002</v>
          </cell>
        </row>
        <row r="40">
          <cell r="C40">
            <v>49</v>
          </cell>
          <cell r="D40">
            <v>600000</v>
          </cell>
          <cell r="E40">
            <v>1200000</v>
          </cell>
          <cell r="F40">
            <v>93395</v>
          </cell>
          <cell r="H40">
            <v>94795</v>
          </cell>
          <cell r="J40">
            <v>96412</v>
          </cell>
          <cell r="L40">
            <v>44718.81</v>
          </cell>
          <cell r="N40">
            <v>46508</v>
          </cell>
          <cell r="P40">
            <v>49298.2</v>
          </cell>
          <cell r="R40">
            <v>74702.83</v>
          </cell>
          <cell r="T40">
            <v>45738.42</v>
          </cell>
          <cell r="V40">
            <v>46835.22</v>
          </cell>
          <cell r="X40">
            <v>47673.599999999999</v>
          </cell>
          <cell r="Z40">
            <v>56620.2</v>
          </cell>
          <cell r="AB40">
            <v>57866.2</v>
          </cell>
          <cell r="AD40">
            <v>59718.39</v>
          </cell>
          <cell r="AF40">
            <v>88042</v>
          </cell>
          <cell r="AH40">
            <v>63294</v>
          </cell>
          <cell r="AJ40">
            <v>64496.6</v>
          </cell>
          <cell r="AL40">
            <v>148013.93</v>
          </cell>
          <cell r="AN40">
            <v>82033.33</v>
          </cell>
          <cell r="AP40">
            <v>274315.76</v>
          </cell>
          <cell r="AR40">
            <v>71343.41</v>
          </cell>
          <cell r="AS40">
            <v>21.2</v>
          </cell>
          <cell r="AT40">
            <v>97193.01</v>
          </cell>
          <cell r="AU40">
            <v>-19.95</v>
          </cell>
          <cell r="AV40">
            <v>76339.199999999997</v>
          </cell>
          <cell r="AX40">
            <v>78476.990000000005</v>
          </cell>
          <cell r="AZ40">
            <v>80910.19</v>
          </cell>
        </row>
        <row r="41">
          <cell r="C41">
            <v>902</v>
          </cell>
          <cell r="F41">
            <v>63550.04</v>
          </cell>
          <cell r="H41">
            <v>93644.45</v>
          </cell>
          <cell r="J41">
            <v>137265.32999999999</v>
          </cell>
          <cell r="L41">
            <v>23165.33</v>
          </cell>
          <cell r="N41">
            <v>54272.35</v>
          </cell>
          <cell r="P41">
            <v>123597.47</v>
          </cell>
          <cell r="R41">
            <v>17492.89</v>
          </cell>
          <cell r="T41">
            <v>82158.47</v>
          </cell>
          <cell r="V41">
            <v>131492.09</v>
          </cell>
          <cell r="X41">
            <v>10610.09</v>
          </cell>
          <cell r="Z41">
            <v>55536.28</v>
          </cell>
          <cell r="AB41">
            <v>219521.44</v>
          </cell>
          <cell r="AD41">
            <v>120434.94</v>
          </cell>
          <cell r="AF41">
            <v>186332.74</v>
          </cell>
          <cell r="AH41">
            <v>131580.09</v>
          </cell>
          <cell r="AJ41">
            <v>177789.45</v>
          </cell>
        </row>
        <row r="42">
          <cell r="C42">
            <v>3833</v>
          </cell>
          <cell r="D42">
            <v>3000000</v>
          </cell>
          <cell r="E42">
            <v>6000000</v>
          </cell>
          <cell r="F42">
            <v>162375.26</v>
          </cell>
          <cell r="H42">
            <v>66306</v>
          </cell>
          <cell r="J42">
            <v>98496.9</v>
          </cell>
          <cell r="L42">
            <v>102320.9</v>
          </cell>
          <cell r="N42">
            <v>108266</v>
          </cell>
          <cell r="P42">
            <v>112250</v>
          </cell>
          <cell r="R42">
            <v>116152.42</v>
          </cell>
          <cell r="T42">
            <v>119522.42</v>
          </cell>
          <cell r="V42">
            <v>125756.32</v>
          </cell>
          <cell r="X42">
            <v>139176.1</v>
          </cell>
          <cell r="Z42">
            <v>142420.1</v>
          </cell>
          <cell r="AB42">
            <v>145197.1</v>
          </cell>
          <cell r="AD42">
            <v>151580.6</v>
          </cell>
          <cell r="AF42">
            <v>155999.79999999999</v>
          </cell>
          <cell r="AH42">
            <v>159198.79999999999</v>
          </cell>
          <cell r="AJ42">
            <v>161340.79999999999</v>
          </cell>
          <cell r="AL42">
            <v>165175.1</v>
          </cell>
          <cell r="AN42">
            <v>19120.400000000001</v>
          </cell>
          <cell r="AP42">
            <v>170880.82</v>
          </cell>
          <cell r="AR42">
            <v>174499.82</v>
          </cell>
          <cell r="AT42">
            <v>184517.42</v>
          </cell>
          <cell r="AV42">
            <v>199376.1</v>
          </cell>
          <cell r="AX42">
            <v>204524.1</v>
          </cell>
          <cell r="AZ42">
            <v>209497.1</v>
          </cell>
        </row>
        <row r="43">
          <cell r="C43">
            <v>2021</v>
          </cell>
          <cell r="D43">
            <v>4000000</v>
          </cell>
          <cell r="E43">
            <v>8000000</v>
          </cell>
          <cell r="F43">
            <v>208821.99</v>
          </cell>
          <cell r="G43">
            <v>1.93</v>
          </cell>
          <cell r="H43">
            <v>293043.87</v>
          </cell>
          <cell r="I43">
            <v>1.89</v>
          </cell>
          <cell r="J43">
            <v>290394.05</v>
          </cell>
          <cell r="K43">
            <v>1.86</v>
          </cell>
          <cell r="L43">
            <v>295526.46999999997</v>
          </cell>
          <cell r="M43">
            <v>1.82</v>
          </cell>
          <cell r="N43">
            <v>439445.56</v>
          </cell>
          <cell r="O43">
            <v>3.46</v>
          </cell>
          <cell r="P43">
            <v>318336.45</v>
          </cell>
          <cell r="Q43">
            <v>3.4</v>
          </cell>
          <cell r="R43">
            <v>291120.61</v>
          </cell>
          <cell r="S43">
            <v>3.32</v>
          </cell>
          <cell r="T43">
            <v>500175.35999999999</v>
          </cell>
          <cell r="U43">
            <v>3.26</v>
          </cell>
          <cell r="V43">
            <v>523548.86</v>
          </cell>
          <cell r="W43">
            <v>3.2</v>
          </cell>
          <cell r="X43">
            <v>224553.86</v>
          </cell>
          <cell r="Y43">
            <v>3.13</v>
          </cell>
          <cell r="Z43">
            <v>308922.11</v>
          </cell>
          <cell r="AA43">
            <v>3.1</v>
          </cell>
          <cell r="AB43">
            <v>555305.17000000004</v>
          </cell>
          <cell r="AC43">
            <v>117.87</v>
          </cell>
          <cell r="AD43">
            <v>204338.58</v>
          </cell>
          <cell r="AE43">
            <v>2.81</v>
          </cell>
          <cell r="AF43">
            <v>479849.86</v>
          </cell>
          <cell r="AG43">
            <v>2.79</v>
          </cell>
          <cell r="AH43">
            <v>468795.75</v>
          </cell>
          <cell r="AI43">
            <v>2.66</v>
          </cell>
          <cell r="AJ43">
            <v>475310.1</v>
          </cell>
          <cell r="AK43">
            <v>14.91</v>
          </cell>
          <cell r="AL43">
            <v>504176.2</v>
          </cell>
          <cell r="AM43">
            <v>3.14</v>
          </cell>
          <cell r="AN43">
            <v>1044404.35</v>
          </cell>
          <cell r="AO43">
            <v>3.09</v>
          </cell>
          <cell r="AP43">
            <v>934851.08</v>
          </cell>
          <cell r="AQ43">
            <v>3</v>
          </cell>
          <cell r="AR43">
            <v>1491929.14</v>
          </cell>
          <cell r="AS43">
            <v>3.05</v>
          </cell>
          <cell r="AT43">
            <v>622073.61</v>
          </cell>
          <cell r="AU43">
            <v>2.99</v>
          </cell>
          <cell r="AV43">
            <v>1762659.7</v>
          </cell>
          <cell r="AW43">
            <v>3.04</v>
          </cell>
          <cell r="AX43">
            <v>789037.76</v>
          </cell>
          <cell r="AY43">
            <v>3.14</v>
          </cell>
          <cell r="AZ43">
            <v>1166510.6499999999</v>
          </cell>
          <cell r="BA43">
            <v>3.17</v>
          </cell>
        </row>
        <row r="44">
          <cell r="C44">
            <v>13377</v>
          </cell>
          <cell r="D44">
            <v>3500000</v>
          </cell>
          <cell r="E44">
            <v>7000000</v>
          </cell>
          <cell r="F44">
            <v>317419.93</v>
          </cell>
          <cell r="H44">
            <v>336964.59</v>
          </cell>
          <cell r="J44">
            <v>359029.11</v>
          </cell>
          <cell r="L44">
            <v>393547.38</v>
          </cell>
          <cell r="N44">
            <v>397883.9</v>
          </cell>
          <cell r="P44">
            <v>416829.93</v>
          </cell>
          <cell r="R44">
            <v>399514.17</v>
          </cell>
          <cell r="T44">
            <v>669342.59</v>
          </cell>
          <cell r="U44">
            <v>12.07</v>
          </cell>
          <cell r="V44">
            <v>729940.68</v>
          </cell>
          <cell r="W44">
            <v>7</v>
          </cell>
          <cell r="X44">
            <v>552638.27</v>
          </cell>
          <cell r="Y44">
            <v>26.94</v>
          </cell>
          <cell r="Z44">
            <v>193172.82</v>
          </cell>
          <cell r="AA44">
            <v>73.89</v>
          </cell>
          <cell r="AB44">
            <v>169492.16</v>
          </cell>
          <cell r="AC44">
            <v>113.55</v>
          </cell>
          <cell r="AD44">
            <v>134427.51999999999</v>
          </cell>
          <cell r="AE44">
            <v>76.67</v>
          </cell>
          <cell r="AF44">
            <v>149941.42000000001</v>
          </cell>
          <cell r="AG44">
            <v>6.56</v>
          </cell>
          <cell r="AH44">
            <v>745779.77</v>
          </cell>
          <cell r="AI44">
            <v>1197.67</v>
          </cell>
          <cell r="AJ44">
            <v>446545.56</v>
          </cell>
          <cell r="AK44">
            <v>610.92999999999995</v>
          </cell>
          <cell r="AL44">
            <v>187507.61</v>
          </cell>
          <cell r="AM44">
            <v>14.14</v>
          </cell>
          <cell r="AN44">
            <v>266657.03000000003</v>
          </cell>
          <cell r="AO44">
            <v>13.69</v>
          </cell>
          <cell r="AP44">
            <v>280127.23</v>
          </cell>
          <cell r="AQ44">
            <v>36.79</v>
          </cell>
          <cell r="AR44">
            <v>262838.62</v>
          </cell>
          <cell r="AS44">
            <v>52.77</v>
          </cell>
          <cell r="AT44">
            <v>303641.65000000002</v>
          </cell>
          <cell r="AU44">
            <v>57.81</v>
          </cell>
          <cell r="AV44">
            <v>283690.76</v>
          </cell>
          <cell r="AW44">
            <v>45.91</v>
          </cell>
          <cell r="AX44">
            <v>242876.32</v>
          </cell>
          <cell r="AY44">
            <v>21.97</v>
          </cell>
          <cell r="AZ44">
            <v>31087.46</v>
          </cell>
          <cell r="BA44">
            <v>13.93</v>
          </cell>
        </row>
        <row r="45">
          <cell r="C45">
            <v>2366</v>
          </cell>
          <cell r="D45">
            <v>2750000</v>
          </cell>
          <cell r="E45">
            <v>5500000</v>
          </cell>
          <cell r="F45">
            <v>251141.13</v>
          </cell>
          <cell r="H45">
            <v>546563.53</v>
          </cell>
          <cell r="I45">
            <v>1.45</v>
          </cell>
          <cell r="J45">
            <v>641422.68999999994</v>
          </cell>
          <cell r="K45">
            <v>2.81</v>
          </cell>
          <cell r="L45">
            <v>478762.02</v>
          </cell>
          <cell r="N45">
            <v>492154.68</v>
          </cell>
          <cell r="O45">
            <v>1.37</v>
          </cell>
          <cell r="P45">
            <v>719456.19</v>
          </cell>
          <cell r="Q45">
            <v>2.58</v>
          </cell>
          <cell r="R45">
            <v>645026.17000000004</v>
          </cell>
          <cell r="S45">
            <v>0.04</v>
          </cell>
          <cell r="T45">
            <v>711457.28000000003</v>
          </cell>
          <cell r="U45">
            <v>0.04</v>
          </cell>
          <cell r="V45">
            <v>504703.93</v>
          </cell>
          <cell r="W45">
            <v>2.42</v>
          </cell>
          <cell r="X45">
            <v>926809.93</v>
          </cell>
          <cell r="Y45">
            <v>2.38</v>
          </cell>
          <cell r="Z45">
            <v>587949.05000000005</v>
          </cell>
          <cell r="AA45">
            <v>256.13</v>
          </cell>
          <cell r="AB45">
            <v>1144082.25</v>
          </cell>
          <cell r="AC45">
            <v>2.33</v>
          </cell>
          <cell r="AD45">
            <v>462485.77</v>
          </cell>
          <cell r="AE45">
            <v>2.14</v>
          </cell>
          <cell r="AF45">
            <v>689474.64</v>
          </cell>
          <cell r="AG45">
            <v>2.08</v>
          </cell>
          <cell r="AH45">
            <v>800019.22</v>
          </cell>
          <cell r="AI45">
            <v>5.09</v>
          </cell>
          <cell r="AJ45">
            <v>542083.67000000004</v>
          </cell>
          <cell r="AK45">
            <v>4.84</v>
          </cell>
          <cell r="AL45">
            <v>355713.54</v>
          </cell>
          <cell r="AM45">
            <v>2.39</v>
          </cell>
          <cell r="AN45">
            <v>383655.78</v>
          </cell>
          <cell r="AO45">
            <v>2.99</v>
          </cell>
          <cell r="AP45">
            <v>387316.6</v>
          </cell>
          <cell r="AQ45">
            <v>19.63</v>
          </cell>
          <cell r="AR45">
            <v>906213.8</v>
          </cell>
          <cell r="AS45">
            <v>32.9</v>
          </cell>
          <cell r="AT45">
            <v>423145.04</v>
          </cell>
          <cell r="AU45">
            <v>15.46</v>
          </cell>
          <cell r="AV45">
            <v>373516.94</v>
          </cell>
          <cell r="AW45">
            <v>15.63</v>
          </cell>
          <cell r="AX45">
            <v>430979.87</v>
          </cell>
          <cell r="AY45">
            <v>15.97</v>
          </cell>
          <cell r="AZ45">
            <v>535166.6</v>
          </cell>
          <cell r="BA45">
            <v>16.239999999999998</v>
          </cell>
        </row>
        <row r="46">
          <cell r="C46">
            <v>59859</v>
          </cell>
          <cell r="D46">
            <v>150000</v>
          </cell>
          <cell r="E46">
            <v>300000</v>
          </cell>
          <cell r="F46">
            <v>80974.429999999993</v>
          </cell>
          <cell r="H46">
            <v>98976.23</v>
          </cell>
          <cell r="J46">
            <v>109432.04</v>
          </cell>
          <cell r="L46">
            <v>173591.69</v>
          </cell>
          <cell r="N46">
            <v>136821.14000000001</v>
          </cell>
          <cell r="P46">
            <v>102599.08</v>
          </cell>
          <cell r="R46">
            <v>130178.1</v>
          </cell>
          <cell r="T46">
            <v>35949.879999999997</v>
          </cell>
          <cell r="V46">
            <v>113710.75</v>
          </cell>
          <cell r="X46">
            <v>2486.21</v>
          </cell>
          <cell r="Z46">
            <v>73807.72</v>
          </cell>
          <cell r="AB46">
            <v>73096.100000000006</v>
          </cell>
          <cell r="AD46">
            <v>152093.82</v>
          </cell>
          <cell r="AF46">
            <v>166220.65</v>
          </cell>
          <cell r="AH46">
            <v>132184.69</v>
          </cell>
          <cell r="AJ46">
            <v>92200.89</v>
          </cell>
          <cell r="AL46">
            <v>19305.900000000001</v>
          </cell>
          <cell r="AN46">
            <v>115514.14</v>
          </cell>
          <cell r="AP46">
            <v>87731.87</v>
          </cell>
          <cell r="AR46">
            <v>15143.88</v>
          </cell>
          <cell r="AT46">
            <v>100807.32</v>
          </cell>
          <cell r="AV46">
            <v>109829.35</v>
          </cell>
          <cell r="AX46">
            <v>33027.11</v>
          </cell>
          <cell r="AZ46">
            <v>93366.19</v>
          </cell>
        </row>
        <row r="47">
          <cell r="C47">
            <v>6665</v>
          </cell>
          <cell r="D47">
            <v>3000000</v>
          </cell>
          <cell r="E47">
            <v>6000000</v>
          </cell>
          <cell r="F47">
            <v>839305.04</v>
          </cell>
          <cell r="H47">
            <v>673183.25</v>
          </cell>
          <cell r="J47">
            <v>1111205.08</v>
          </cell>
          <cell r="L47">
            <v>835625.32</v>
          </cell>
          <cell r="N47">
            <v>900447.65</v>
          </cell>
          <cell r="P47">
            <v>1190326.67</v>
          </cell>
          <cell r="R47">
            <v>887738.39</v>
          </cell>
          <cell r="T47">
            <v>6965964.8499999996</v>
          </cell>
          <cell r="U47">
            <v>376</v>
          </cell>
          <cell r="V47">
            <v>1186094.3400000001</v>
          </cell>
          <cell r="W47">
            <v>691.69</v>
          </cell>
          <cell r="X47">
            <v>2303411.29</v>
          </cell>
          <cell r="Y47">
            <v>1</v>
          </cell>
          <cell r="Z47">
            <v>1975734.5</v>
          </cell>
          <cell r="AA47">
            <v>2012.51</v>
          </cell>
          <cell r="AB47">
            <v>1204892.52</v>
          </cell>
          <cell r="AC47">
            <v>93.99</v>
          </cell>
          <cell r="AD47">
            <v>980378.35</v>
          </cell>
          <cell r="AF47">
            <v>909557.56</v>
          </cell>
          <cell r="AG47">
            <v>8.4</v>
          </cell>
          <cell r="AH47">
            <v>2237401.9900000002</v>
          </cell>
          <cell r="AJ47">
            <v>1433836.29</v>
          </cell>
          <cell r="AL47">
            <v>1219515.07</v>
          </cell>
          <cell r="AM47">
            <v>5.99</v>
          </cell>
          <cell r="AN47">
            <v>1570526.81</v>
          </cell>
          <cell r="AO47">
            <v>31.69</v>
          </cell>
          <cell r="AP47">
            <v>1463732.47</v>
          </cell>
          <cell r="AQ47">
            <v>8.42</v>
          </cell>
          <cell r="AR47">
            <v>3692841.49</v>
          </cell>
          <cell r="AS47">
            <v>1</v>
          </cell>
          <cell r="AT47">
            <v>3658499.14</v>
          </cell>
          <cell r="AU47">
            <v>1299.28</v>
          </cell>
          <cell r="AV47">
            <v>1759960.28</v>
          </cell>
          <cell r="AW47">
            <v>-0.72</v>
          </cell>
          <cell r="AX47">
            <v>3524301.42</v>
          </cell>
          <cell r="AY47">
            <v>4216.5</v>
          </cell>
          <cell r="AZ47">
            <v>2452202.04</v>
          </cell>
          <cell r="BA47">
            <v>2597.6</v>
          </cell>
        </row>
        <row r="48">
          <cell r="C48">
            <v>54311</v>
          </cell>
          <cell r="D48">
            <v>1000000</v>
          </cell>
          <cell r="E48">
            <v>2000000</v>
          </cell>
          <cell r="F48">
            <v>152499.01999999999</v>
          </cell>
          <cell r="H48">
            <v>84979.03</v>
          </cell>
          <cell r="J48">
            <v>142488.9</v>
          </cell>
          <cell r="L48">
            <v>92467.19</v>
          </cell>
          <cell r="N48">
            <v>167199.14000000001</v>
          </cell>
          <cell r="P48">
            <v>163140.69</v>
          </cell>
          <cell r="R48">
            <v>162094.18</v>
          </cell>
          <cell r="T48">
            <v>173860.82</v>
          </cell>
          <cell r="V48">
            <v>182899.07</v>
          </cell>
          <cell r="X48">
            <v>106191.14</v>
          </cell>
          <cell r="Z48">
            <v>132223.17000000001</v>
          </cell>
          <cell r="AB48">
            <v>156424.31</v>
          </cell>
          <cell r="AD48">
            <v>178869.18</v>
          </cell>
          <cell r="AF48">
            <v>253810.11</v>
          </cell>
          <cell r="AH48">
            <v>208639.03</v>
          </cell>
          <cell r="AJ48">
            <v>251036.89</v>
          </cell>
          <cell r="AL48">
            <v>268098.69</v>
          </cell>
          <cell r="AN48">
            <v>334322.7</v>
          </cell>
          <cell r="AP48">
            <v>298066.17</v>
          </cell>
          <cell r="AR48">
            <v>407367.52</v>
          </cell>
          <cell r="AT48">
            <v>355072.12</v>
          </cell>
          <cell r="AV48">
            <v>486753.55</v>
          </cell>
          <cell r="AX48">
            <v>505812.32</v>
          </cell>
          <cell r="AZ48">
            <v>739708.35</v>
          </cell>
        </row>
        <row r="49">
          <cell r="C49">
            <v>53974</v>
          </cell>
          <cell r="F49">
            <v>17958</v>
          </cell>
          <cell r="H49">
            <v>1304.2</v>
          </cell>
          <cell r="J49">
            <v>14003.63</v>
          </cell>
          <cell r="L49" t="str">
            <v xml:space="preserve"> 4525,48-</v>
          </cell>
          <cell r="N49">
            <v>5853.51</v>
          </cell>
          <cell r="O49">
            <v>7.15</v>
          </cell>
          <cell r="P49">
            <v>15789.83</v>
          </cell>
          <cell r="R49">
            <v>2560.1799999999998</v>
          </cell>
          <cell r="T49">
            <v>2912.38</v>
          </cell>
          <cell r="V49">
            <v>3324.22</v>
          </cell>
          <cell r="X49">
            <v>584.04</v>
          </cell>
          <cell r="Z49">
            <v>481.35</v>
          </cell>
          <cell r="AB49">
            <v>503.55</v>
          </cell>
          <cell r="AD49" t="str">
            <v>Baja</v>
          </cell>
        </row>
        <row r="50">
          <cell r="C50">
            <v>19542</v>
          </cell>
          <cell r="D50">
            <v>2000000</v>
          </cell>
          <cell r="E50">
            <v>4000000</v>
          </cell>
          <cell r="F50">
            <v>343753.2</v>
          </cell>
          <cell r="H50">
            <v>696636.85</v>
          </cell>
          <cell r="J50">
            <v>421789.57</v>
          </cell>
          <cell r="L50">
            <v>501639.83</v>
          </cell>
          <cell r="N50">
            <v>855330.44</v>
          </cell>
          <cell r="P50">
            <v>379558.66</v>
          </cell>
          <cell r="R50">
            <v>616118.06999999995</v>
          </cell>
          <cell r="T50">
            <v>407115.02</v>
          </cell>
          <cell r="V50">
            <v>850815.29</v>
          </cell>
          <cell r="X50">
            <v>426790.17</v>
          </cell>
          <cell r="Z50">
            <v>1115136.02</v>
          </cell>
          <cell r="AA50">
            <v>32.99</v>
          </cell>
          <cell r="AB50">
            <v>953951.94</v>
          </cell>
          <cell r="AD50">
            <v>781488.58</v>
          </cell>
          <cell r="AF50">
            <v>1111373.2</v>
          </cell>
          <cell r="AH50">
            <v>1076223.47</v>
          </cell>
          <cell r="AJ50">
            <v>1038976.8</v>
          </cell>
          <cell r="AL50">
            <v>1653385.95</v>
          </cell>
          <cell r="AN50">
            <v>931143.31</v>
          </cell>
          <cell r="AP50">
            <v>1761301.31</v>
          </cell>
          <cell r="AQ50">
            <v>14.61</v>
          </cell>
          <cell r="AR50">
            <v>1570640.11</v>
          </cell>
          <cell r="AT50">
            <v>653515.51</v>
          </cell>
          <cell r="AV50">
            <v>1237298.8400000001</v>
          </cell>
          <cell r="AX50">
            <v>979536.61</v>
          </cell>
          <cell r="AY50">
            <v>48.99</v>
          </cell>
          <cell r="AZ50">
            <v>1268756.27</v>
          </cell>
        </row>
        <row r="51">
          <cell r="C51">
            <v>82400</v>
          </cell>
          <cell r="D51">
            <v>250000</v>
          </cell>
          <cell r="E51">
            <v>500000</v>
          </cell>
          <cell r="F51">
            <v>134.31</v>
          </cell>
          <cell r="H51">
            <v>134.31</v>
          </cell>
          <cell r="J51">
            <v>134.31</v>
          </cell>
          <cell r="L51">
            <v>134.31</v>
          </cell>
          <cell r="N51">
            <v>134.31</v>
          </cell>
          <cell r="P51">
            <v>134.31</v>
          </cell>
          <cell r="R51">
            <v>497.31</v>
          </cell>
          <cell r="T51">
            <v>497.31</v>
          </cell>
          <cell r="V51">
            <v>497.31</v>
          </cell>
          <cell r="X51">
            <v>134.31</v>
          </cell>
          <cell r="Z51">
            <v>134.31</v>
          </cell>
          <cell r="AB51">
            <v>134.31</v>
          </cell>
          <cell r="AD51">
            <v>134.31</v>
          </cell>
          <cell r="AF51">
            <v>134.31</v>
          </cell>
          <cell r="AH51">
            <v>134.31</v>
          </cell>
          <cell r="AJ51">
            <v>134.31</v>
          </cell>
          <cell r="AL51">
            <v>134.31</v>
          </cell>
          <cell r="AN51">
            <v>134.31</v>
          </cell>
          <cell r="AP51">
            <v>497.31</v>
          </cell>
          <cell r="AR51">
            <v>497.31</v>
          </cell>
          <cell r="AT51">
            <v>497.31</v>
          </cell>
          <cell r="AV51">
            <v>134.31</v>
          </cell>
          <cell r="AX51">
            <v>134.31</v>
          </cell>
          <cell r="AZ51">
            <v>134.31</v>
          </cell>
        </row>
        <row r="52">
          <cell r="C52">
            <v>17980</v>
          </cell>
          <cell r="D52">
            <v>1200000</v>
          </cell>
          <cell r="E52">
            <v>2400000</v>
          </cell>
          <cell r="F52">
            <v>63880</v>
          </cell>
          <cell r="H52">
            <v>69474</v>
          </cell>
          <cell r="J52">
            <v>71250</v>
          </cell>
          <cell r="L52">
            <v>78130</v>
          </cell>
          <cell r="N52">
            <v>78135.42</v>
          </cell>
          <cell r="P52">
            <v>78135.42</v>
          </cell>
          <cell r="R52">
            <v>94060.42</v>
          </cell>
          <cell r="T52">
            <v>77945</v>
          </cell>
          <cell r="V52">
            <v>100575.75</v>
          </cell>
          <cell r="W52">
            <v>0.01</v>
          </cell>
          <cell r="X52">
            <v>89251.68</v>
          </cell>
          <cell r="Z52">
            <v>90240</v>
          </cell>
          <cell r="AB52">
            <v>98100</v>
          </cell>
          <cell r="AD52">
            <v>95060</v>
          </cell>
          <cell r="AF52">
            <v>98100</v>
          </cell>
          <cell r="AH52">
            <v>108930</v>
          </cell>
          <cell r="AJ52">
            <v>108930</v>
          </cell>
          <cell r="AL52">
            <v>225235.42</v>
          </cell>
          <cell r="AN52">
            <v>5.42</v>
          </cell>
          <cell r="AP52">
            <v>116305.42</v>
          </cell>
          <cell r="AR52">
            <v>116300</v>
          </cell>
          <cell r="AT52">
            <v>128190</v>
          </cell>
          <cell r="AV52">
            <v>128190</v>
          </cell>
          <cell r="AX52">
            <v>128190</v>
          </cell>
          <cell r="AZ52">
            <v>143000</v>
          </cell>
        </row>
        <row r="53">
          <cell r="C53">
            <v>54516</v>
          </cell>
          <cell r="D53">
            <v>2000000</v>
          </cell>
          <cell r="E53">
            <v>4000000</v>
          </cell>
          <cell r="F53">
            <v>767052.74</v>
          </cell>
          <cell r="G53">
            <v>37.549999999999997</v>
          </cell>
          <cell r="H53">
            <v>528561.79</v>
          </cell>
          <cell r="I53">
            <v>43.18</v>
          </cell>
          <cell r="J53">
            <v>835361.97</v>
          </cell>
          <cell r="K53">
            <v>47.1</v>
          </cell>
          <cell r="L53">
            <v>885865.5</v>
          </cell>
          <cell r="M53">
            <v>23.19</v>
          </cell>
          <cell r="N53">
            <v>754794.14</v>
          </cell>
          <cell r="O53">
            <v>23.19</v>
          </cell>
          <cell r="P53">
            <v>936282.86</v>
          </cell>
          <cell r="Q53">
            <v>23.19</v>
          </cell>
          <cell r="R53">
            <v>950813.97</v>
          </cell>
          <cell r="S53">
            <v>23.19</v>
          </cell>
          <cell r="T53">
            <v>1362980.11</v>
          </cell>
          <cell r="U53">
            <v>23.19</v>
          </cell>
          <cell r="V53">
            <v>1365749.22</v>
          </cell>
          <cell r="W53">
            <v>23.19</v>
          </cell>
          <cell r="X53">
            <v>1371953.77</v>
          </cell>
          <cell r="Y53">
            <v>4.1900000000000004</v>
          </cell>
          <cell r="Z53">
            <v>2038163.64</v>
          </cell>
          <cell r="AA53">
            <v>4.1900000000000004</v>
          </cell>
          <cell r="AB53">
            <v>887802.35</v>
          </cell>
          <cell r="AC53">
            <v>4.1900000000000004</v>
          </cell>
          <cell r="AD53">
            <v>965128.66</v>
          </cell>
          <cell r="AE53">
            <v>4.1900000000000004</v>
          </cell>
          <cell r="AF53">
            <v>1210405.6599999999</v>
          </cell>
          <cell r="AG53">
            <v>4.1900000000000004</v>
          </cell>
          <cell r="AH53">
            <v>1369878.51</v>
          </cell>
          <cell r="AI53">
            <v>25.92</v>
          </cell>
          <cell r="AJ53">
            <v>1555702.64</v>
          </cell>
          <cell r="AK53">
            <v>18.170000000000002</v>
          </cell>
          <cell r="AL53">
            <v>1907879.26</v>
          </cell>
          <cell r="AM53">
            <v>8.98</v>
          </cell>
          <cell r="AN53">
            <v>1958260.31</v>
          </cell>
          <cell r="AO53">
            <v>8.9700000000000006</v>
          </cell>
          <cell r="AP53">
            <v>1671532.59</v>
          </cell>
          <cell r="AQ53">
            <v>9</v>
          </cell>
          <cell r="AR53">
            <v>1536594.65</v>
          </cell>
          <cell r="AS53">
            <v>8.92</v>
          </cell>
          <cell r="AT53">
            <v>1362662.44</v>
          </cell>
          <cell r="AU53">
            <v>19.28</v>
          </cell>
          <cell r="AV53">
            <v>1407498.36</v>
          </cell>
          <cell r="AW53">
            <v>19.829999999999998</v>
          </cell>
          <cell r="AX53">
            <v>1045723.84</v>
          </cell>
          <cell r="AY53">
            <v>112.81</v>
          </cell>
          <cell r="AZ53">
            <v>1185605.6499999999</v>
          </cell>
          <cell r="BA53">
            <v>53.66</v>
          </cell>
        </row>
        <row r="54">
          <cell r="C54">
            <v>54541</v>
          </cell>
          <cell r="D54">
            <v>2000000</v>
          </cell>
          <cell r="E54">
            <v>4000000</v>
          </cell>
          <cell r="F54">
            <v>622257.37</v>
          </cell>
          <cell r="G54">
            <v>14.67</v>
          </cell>
          <cell r="H54">
            <v>820597.12</v>
          </cell>
          <cell r="I54">
            <v>3.03</v>
          </cell>
          <cell r="J54">
            <v>1207918.1200000001</v>
          </cell>
          <cell r="K54">
            <v>2.54</v>
          </cell>
          <cell r="L54">
            <v>888042.38</v>
          </cell>
          <cell r="M54">
            <v>18.86</v>
          </cell>
          <cell r="N54">
            <v>870052.43</v>
          </cell>
          <cell r="O54">
            <v>3.96</v>
          </cell>
          <cell r="P54">
            <v>1154509.42</v>
          </cell>
          <cell r="Q54">
            <v>17.079999999999998</v>
          </cell>
          <cell r="R54">
            <v>1250903.05</v>
          </cell>
          <cell r="S54">
            <v>378.88</v>
          </cell>
          <cell r="T54">
            <v>1357436.34</v>
          </cell>
          <cell r="U54">
            <v>31.24</v>
          </cell>
          <cell r="V54">
            <v>1314393.79</v>
          </cell>
          <cell r="W54">
            <v>24.8</v>
          </cell>
          <cell r="X54">
            <v>1271638.1299999999</v>
          </cell>
          <cell r="Y54">
            <v>13.77</v>
          </cell>
          <cell r="Z54">
            <v>1196620.6499999999</v>
          </cell>
          <cell r="AA54">
            <v>3.77</v>
          </cell>
          <cell r="AB54">
            <v>1193647.3600000001</v>
          </cell>
          <cell r="AC54">
            <v>3.66</v>
          </cell>
          <cell r="AD54">
            <v>1234508.1000000001</v>
          </cell>
          <cell r="AE54">
            <v>9.9600000000000009</v>
          </cell>
          <cell r="AF54">
            <v>1030987.15</v>
          </cell>
          <cell r="AG54">
            <v>4.91</v>
          </cell>
          <cell r="AH54">
            <v>2182105.86</v>
          </cell>
          <cell r="AI54">
            <v>1756.74</v>
          </cell>
          <cell r="AJ54">
            <v>1109553.82</v>
          </cell>
          <cell r="AK54">
            <v>4.6100000000000003</v>
          </cell>
          <cell r="AL54">
            <v>1988791.12</v>
          </cell>
          <cell r="AM54">
            <v>4.29</v>
          </cell>
          <cell r="AN54">
            <v>1199126.8500000001</v>
          </cell>
          <cell r="AO54">
            <v>4.32</v>
          </cell>
          <cell r="AP54">
            <v>1364313.94</v>
          </cell>
          <cell r="AQ54">
            <v>4.3899999999999997</v>
          </cell>
          <cell r="AR54">
            <v>1407425.15</v>
          </cell>
          <cell r="AS54">
            <v>58.33</v>
          </cell>
          <cell r="AT54">
            <v>181579.76</v>
          </cell>
          <cell r="AV54">
            <v>1139453.96</v>
          </cell>
          <cell r="AW54">
            <v>4.45</v>
          </cell>
          <cell r="AX54">
            <v>1519777.46</v>
          </cell>
          <cell r="AY54">
            <v>4.43</v>
          </cell>
          <cell r="AZ54">
            <v>1419248.86</v>
          </cell>
          <cell r="BA54">
            <v>4.47</v>
          </cell>
        </row>
        <row r="55">
          <cell r="C55">
            <v>55026</v>
          </cell>
          <cell r="D55">
            <v>500000</v>
          </cell>
          <cell r="E55">
            <v>1500000</v>
          </cell>
          <cell r="F55">
            <v>136196.51999999999</v>
          </cell>
          <cell r="H55">
            <v>224263.22</v>
          </cell>
          <cell r="J55">
            <v>280110.75</v>
          </cell>
          <cell r="L55">
            <v>238605.21</v>
          </cell>
          <cell r="M55">
            <v>-11.24</v>
          </cell>
          <cell r="N55">
            <v>413819.92</v>
          </cell>
          <cell r="O55">
            <v>-11.23</v>
          </cell>
          <cell r="P55">
            <v>283154.90999999997</v>
          </cell>
          <cell r="Q55">
            <v>-11.14</v>
          </cell>
          <cell r="R55">
            <v>254227.08</v>
          </cell>
          <cell r="S55">
            <v>-11.14</v>
          </cell>
          <cell r="T55">
            <v>184835.87</v>
          </cell>
          <cell r="U55">
            <v>-11.14</v>
          </cell>
          <cell r="V55">
            <v>263796.77</v>
          </cell>
          <cell r="W55">
            <v>-11.14</v>
          </cell>
          <cell r="X55">
            <v>262554.2</v>
          </cell>
          <cell r="Y55">
            <v>-11.14</v>
          </cell>
          <cell r="Z55">
            <v>386145.34</v>
          </cell>
          <cell r="AA55">
            <v>-11.14</v>
          </cell>
          <cell r="AB55">
            <v>301607.03000000003</v>
          </cell>
          <cell r="AC55">
            <v>-11.14</v>
          </cell>
          <cell r="AD55">
            <v>240477.71</v>
          </cell>
          <cell r="AE55">
            <v>-11.14</v>
          </cell>
          <cell r="AF55">
            <v>301373.96999999997</v>
          </cell>
          <cell r="AG55">
            <v>-11.14</v>
          </cell>
          <cell r="AH55">
            <v>282519.26</v>
          </cell>
          <cell r="AI55">
            <v>-11.14</v>
          </cell>
          <cell r="AJ55">
            <v>270074.93</v>
          </cell>
          <cell r="AK55">
            <v>-11.12</v>
          </cell>
          <cell r="AL55">
            <v>352780.76</v>
          </cell>
          <cell r="AM55">
            <v>-11.12</v>
          </cell>
          <cell r="AN55">
            <v>316164.36</v>
          </cell>
          <cell r="AO55">
            <v>-11.12</v>
          </cell>
          <cell r="AP55">
            <v>218087.37</v>
          </cell>
          <cell r="AQ55">
            <v>-11.12</v>
          </cell>
          <cell r="AR55">
            <v>256167.99</v>
          </cell>
          <cell r="AS55">
            <v>-11.12</v>
          </cell>
          <cell r="AT55">
            <v>390337.72</v>
          </cell>
          <cell r="AU55">
            <v>-11.12</v>
          </cell>
          <cell r="AV55">
            <v>333558.05</v>
          </cell>
          <cell r="AW55">
            <v>-11.12</v>
          </cell>
          <cell r="AX55">
            <v>283231.35999999999</v>
          </cell>
          <cell r="AY55">
            <v>-11.12</v>
          </cell>
          <cell r="AZ55">
            <v>364830.91</v>
          </cell>
          <cell r="BA55">
            <v>-11.12</v>
          </cell>
        </row>
        <row r="56">
          <cell r="C56">
            <v>11623</v>
          </cell>
          <cell r="D56">
            <v>10000000</v>
          </cell>
          <cell r="E56">
            <v>30000000</v>
          </cell>
          <cell r="F56">
            <v>1569115.13</v>
          </cell>
          <cell r="G56">
            <v>28.01</v>
          </cell>
          <cell r="H56">
            <v>1544176.4</v>
          </cell>
          <cell r="I56">
            <v>4724.75</v>
          </cell>
          <cell r="J56">
            <v>2083960.21</v>
          </cell>
          <cell r="K56">
            <v>128.94999999999999</v>
          </cell>
          <cell r="L56">
            <v>3341116.16</v>
          </cell>
          <cell r="M56">
            <v>-515.84</v>
          </cell>
          <cell r="N56">
            <v>2549294.7000000002</v>
          </cell>
          <cell r="O56">
            <v>689.45</v>
          </cell>
          <cell r="P56">
            <v>3523082.35</v>
          </cell>
          <cell r="Q56">
            <v>1347.54</v>
          </cell>
          <cell r="R56">
            <v>2538876.5299999998</v>
          </cell>
          <cell r="S56">
            <v>297.81</v>
          </cell>
          <cell r="T56">
            <v>3777982.12</v>
          </cell>
          <cell r="U56">
            <v>1897.49</v>
          </cell>
          <cell r="V56">
            <v>2653725.39</v>
          </cell>
          <cell r="W56">
            <v>766.81</v>
          </cell>
          <cell r="X56">
            <v>2653183.04</v>
          </cell>
          <cell r="Y56">
            <v>14.08</v>
          </cell>
          <cell r="Z56">
            <v>3430541.29</v>
          </cell>
          <cell r="AA56">
            <v>31.86</v>
          </cell>
          <cell r="AB56">
            <v>3542066.39</v>
          </cell>
          <cell r="AC56">
            <v>890.99</v>
          </cell>
          <cell r="AD56">
            <v>3058593.99</v>
          </cell>
          <cell r="AE56">
            <v>286.66000000000003</v>
          </cell>
          <cell r="AF56">
            <v>3492674.3</v>
          </cell>
          <cell r="AG56">
            <v>755.16</v>
          </cell>
          <cell r="AH56">
            <v>4161724.29</v>
          </cell>
          <cell r="AI56">
            <v>1848.86</v>
          </cell>
          <cell r="AJ56">
            <v>3215731.89</v>
          </cell>
          <cell r="AK56">
            <v>42.79</v>
          </cell>
          <cell r="AL56">
            <v>954310.33</v>
          </cell>
          <cell r="AM56">
            <v>570.19000000000005</v>
          </cell>
          <cell r="AN56">
            <v>675129.96</v>
          </cell>
          <cell r="AO56">
            <v>757.19</v>
          </cell>
          <cell r="AP56">
            <v>3484009.8</v>
          </cell>
          <cell r="AQ56">
            <v>2174.58</v>
          </cell>
          <cell r="AR56">
            <v>3642455.04</v>
          </cell>
          <cell r="AS56">
            <v>3144.75</v>
          </cell>
          <cell r="AT56">
            <v>3815554.79</v>
          </cell>
          <cell r="AU56">
            <v>3914.85</v>
          </cell>
          <cell r="AV56">
            <v>2478711.27</v>
          </cell>
          <cell r="AW56">
            <v>1418.13</v>
          </cell>
          <cell r="AX56">
            <v>3181647.39</v>
          </cell>
          <cell r="AY56">
            <v>1113.07</v>
          </cell>
          <cell r="AZ56">
            <v>3147204.11</v>
          </cell>
          <cell r="BA56">
            <v>2184.04</v>
          </cell>
        </row>
        <row r="57">
          <cell r="C57">
            <v>54212</v>
          </cell>
          <cell r="D57">
            <v>400000</v>
          </cell>
          <cell r="E57">
            <v>1200000</v>
          </cell>
          <cell r="F57">
            <v>9934.31</v>
          </cell>
          <cell r="H57">
            <v>9934.31</v>
          </cell>
          <cell r="J57">
            <v>10934.31</v>
          </cell>
          <cell r="L57">
            <v>10934.31</v>
          </cell>
          <cell r="N57">
            <v>11934.31</v>
          </cell>
          <cell r="P57">
            <v>11934.31</v>
          </cell>
          <cell r="R57">
            <v>79143.429999999993</v>
          </cell>
          <cell r="T57">
            <v>66643.39</v>
          </cell>
          <cell r="V57">
            <v>66643.39</v>
          </cell>
          <cell r="X57">
            <v>66643.39</v>
          </cell>
          <cell r="Z57">
            <v>66643.39</v>
          </cell>
          <cell r="AB57">
            <v>66643.39</v>
          </cell>
          <cell r="AD57">
            <v>66643.39</v>
          </cell>
          <cell r="AF57">
            <v>66643.39</v>
          </cell>
          <cell r="AH57">
            <v>66643.39</v>
          </cell>
          <cell r="AJ57">
            <v>66643.39</v>
          </cell>
          <cell r="AL57">
            <v>66643.39</v>
          </cell>
          <cell r="AN57">
            <v>66642.789999999994</v>
          </cell>
          <cell r="AP57">
            <v>134.31</v>
          </cell>
          <cell r="AR57">
            <v>134.31</v>
          </cell>
          <cell r="AT57">
            <v>134.31</v>
          </cell>
          <cell r="AV57">
            <v>134.31</v>
          </cell>
          <cell r="AX57">
            <v>134.31</v>
          </cell>
          <cell r="AZ57">
            <v>134.31</v>
          </cell>
        </row>
        <row r="58">
          <cell r="C58">
            <v>20720</v>
          </cell>
          <cell r="F58">
            <v>22088.15</v>
          </cell>
          <cell r="H58">
            <v>24333.95</v>
          </cell>
          <cell r="J58">
            <v>14467.65</v>
          </cell>
          <cell r="L58">
            <v>30318.31</v>
          </cell>
          <cell r="N58">
            <v>15465.43</v>
          </cell>
          <cell r="P58">
            <v>-37.26</v>
          </cell>
          <cell r="R58">
            <v>22241.31</v>
          </cell>
          <cell r="T58">
            <v>24943.66</v>
          </cell>
          <cell r="V58">
            <v>14791.05</v>
          </cell>
          <cell r="X58">
            <v>31157.47</v>
          </cell>
          <cell r="Z58">
            <v>48758.62</v>
          </cell>
          <cell r="AB58">
            <v>983.59</v>
          </cell>
          <cell r="AD58" t="str">
            <v>Baja</v>
          </cell>
        </row>
        <row r="59">
          <cell r="C59">
            <v>58319</v>
          </cell>
          <cell r="D59">
            <v>11000</v>
          </cell>
          <cell r="E59">
            <v>22000</v>
          </cell>
          <cell r="F59">
            <v>134.31</v>
          </cell>
          <cell r="H59">
            <v>497.31</v>
          </cell>
          <cell r="J59">
            <v>497.31</v>
          </cell>
          <cell r="L59">
            <v>497.31</v>
          </cell>
          <cell r="N59">
            <v>134.31</v>
          </cell>
          <cell r="P59">
            <v>134.31</v>
          </cell>
          <cell r="R59">
            <v>134.31</v>
          </cell>
          <cell r="T59">
            <v>134.31</v>
          </cell>
          <cell r="V59">
            <v>134.31</v>
          </cell>
          <cell r="X59">
            <v>134.31</v>
          </cell>
          <cell r="Z59">
            <v>134.31</v>
          </cell>
          <cell r="AB59">
            <v>134.31</v>
          </cell>
          <cell r="AD59">
            <v>134.31</v>
          </cell>
          <cell r="AF59">
            <v>497.31</v>
          </cell>
          <cell r="AH59">
            <v>497.31</v>
          </cell>
          <cell r="AJ59">
            <v>497.31</v>
          </cell>
          <cell r="AL59">
            <v>134.31</v>
          </cell>
          <cell r="AN59">
            <v>134.31</v>
          </cell>
          <cell r="AP59">
            <v>134.31</v>
          </cell>
          <cell r="AR59">
            <v>134.31</v>
          </cell>
          <cell r="AT59">
            <v>134.31</v>
          </cell>
          <cell r="AV59">
            <v>134.31</v>
          </cell>
          <cell r="AX59">
            <v>134.31</v>
          </cell>
          <cell r="AZ59">
            <v>134.31</v>
          </cell>
        </row>
        <row r="60">
          <cell r="C60">
            <v>54864</v>
          </cell>
          <cell r="D60">
            <v>600000</v>
          </cell>
          <cell r="E60">
            <v>1200000</v>
          </cell>
          <cell r="F60">
            <v>37609.43</v>
          </cell>
          <cell r="H60">
            <v>59841.65</v>
          </cell>
          <cell r="J60">
            <v>230660.75</v>
          </cell>
          <cell r="L60">
            <v>109773.64</v>
          </cell>
          <cell r="N60">
            <v>156656.19</v>
          </cell>
          <cell r="P60">
            <v>186000.91</v>
          </cell>
          <cell r="R60">
            <v>180415.03</v>
          </cell>
          <cell r="T60">
            <v>138100.43</v>
          </cell>
          <cell r="V60">
            <v>169173.37</v>
          </cell>
          <cell r="X60">
            <v>232773.08</v>
          </cell>
          <cell r="Z60">
            <v>193941.19</v>
          </cell>
          <cell r="AB60">
            <v>306877.68</v>
          </cell>
          <cell r="AD60">
            <v>265063.48</v>
          </cell>
          <cell r="AF60">
            <v>207541.34</v>
          </cell>
          <cell r="AH60">
            <v>213973.03</v>
          </cell>
          <cell r="AJ60">
            <v>201569.88</v>
          </cell>
          <cell r="AL60">
            <v>278305.82</v>
          </cell>
          <cell r="AN60">
            <v>196642.99</v>
          </cell>
          <cell r="AP60">
            <v>222743.78</v>
          </cell>
          <cell r="AR60">
            <v>252918.06</v>
          </cell>
          <cell r="AT60">
            <v>307626.95</v>
          </cell>
          <cell r="AV60">
            <v>194488.69</v>
          </cell>
          <cell r="AX60">
            <v>222019.76</v>
          </cell>
          <cell r="AZ60">
            <v>196718.84</v>
          </cell>
        </row>
        <row r="61">
          <cell r="C61">
            <v>54718</v>
          </cell>
          <cell r="D61">
            <v>1500000</v>
          </cell>
          <cell r="E61">
            <v>3000000</v>
          </cell>
          <cell r="F61">
            <v>536155.80000000005</v>
          </cell>
          <cell r="H61">
            <v>451546.04</v>
          </cell>
          <cell r="J61">
            <v>579973.6</v>
          </cell>
          <cell r="L61">
            <v>678657.83</v>
          </cell>
          <cell r="N61">
            <v>750422.79</v>
          </cell>
          <cell r="P61">
            <v>730752.62</v>
          </cell>
          <cell r="R61">
            <v>610068.75</v>
          </cell>
          <cell r="T61">
            <v>496405.13</v>
          </cell>
          <cell r="U61">
            <v>31.78</v>
          </cell>
          <cell r="V61">
            <v>946736.19</v>
          </cell>
          <cell r="X61">
            <v>349893.94</v>
          </cell>
          <cell r="Z61">
            <v>777571.83</v>
          </cell>
          <cell r="AB61">
            <v>1123591.33</v>
          </cell>
          <cell r="AD61">
            <v>1214642.06</v>
          </cell>
          <cell r="AF61">
            <v>1005097.95</v>
          </cell>
          <cell r="AH61">
            <v>922029.74</v>
          </cell>
          <cell r="AI61">
            <v>11.99</v>
          </cell>
          <cell r="AJ61">
            <v>1136801.44</v>
          </cell>
          <cell r="AL61">
            <v>977680.1</v>
          </cell>
          <cell r="AN61">
            <v>1540023.73</v>
          </cell>
          <cell r="AP61">
            <v>2560568.7000000002</v>
          </cell>
          <cell r="AQ61">
            <v>70</v>
          </cell>
          <cell r="AR61">
            <v>2176282.96</v>
          </cell>
          <cell r="AT61">
            <v>2318100.77</v>
          </cell>
          <cell r="AV61">
            <v>2022784.33</v>
          </cell>
          <cell r="AX61">
            <v>1932442.47</v>
          </cell>
          <cell r="AZ61">
            <v>1979240.03</v>
          </cell>
        </row>
        <row r="62">
          <cell r="C62">
            <v>54857</v>
          </cell>
          <cell r="D62">
            <v>1500000</v>
          </cell>
          <cell r="E62">
            <v>3000000</v>
          </cell>
          <cell r="F62">
            <v>128801.86</v>
          </cell>
          <cell r="H62">
            <v>161765.12</v>
          </cell>
          <cell r="J62">
            <v>302311.37</v>
          </cell>
          <cell r="L62">
            <v>235640.81</v>
          </cell>
          <cell r="N62">
            <v>538917.51</v>
          </cell>
          <cell r="P62">
            <v>515858.97</v>
          </cell>
          <cell r="R62">
            <v>298109.65000000002</v>
          </cell>
          <cell r="T62">
            <v>323505.68</v>
          </cell>
          <cell r="V62">
            <v>285729.69</v>
          </cell>
          <cell r="X62">
            <v>422210.22</v>
          </cell>
          <cell r="Y62">
            <v>335.93</v>
          </cell>
          <cell r="Z62">
            <v>105656.65</v>
          </cell>
          <cell r="AB62">
            <v>-209.04</v>
          </cell>
          <cell r="AD62">
            <v>-74.73</v>
          </cell>
          <cell r="AF62">
            <v>193030.58</v>
          </cell>
          <cell r="AH62">
            <v>8568.06</v>
          </cell>
          <cell r="AJ62">
            <v>1014426.8</v>
          </cell>
          <cell r="AL62">
            <v>1459143.23</v>
          </cell>
          <cell r="AN62">
            <v>122516</v>
          </cell>
          <cell r="AP62">
            <v>-2849.69</v>
          </cell>
          <cell r="AR62">
            <v>-2715.38</v>
          </cell>
          <cell r="AT62">
            <v>-6005.07</v>
          </cell>
          <cell r="AV62">
            <v>485271.4</v>
          </cell>
          <cell r="AW62">
            <v>496.68</v>
          </cell>
          <cell r="AX62">
            <v>395596.94</v>
          </cell>
          <cell r="AZ62">
            <v>-4268.75</v>
          </cell>
        </row>
        <row r="63">
          <cell r="C63">
            <v>58440</v>
          </cell>
          <cell r="D63">
            <v>2500000</v>
          </cell>
          <cell r="E63">
            <v>5000000</v>
          </cell>
          <cell r="F63">
            <v>1478614.78</v>
          </cell>
          <cell r="H63">
            <v>1148142.3600000001</v>
          </cell>
          <cell r="J63">
            <v>1719227.66</v>
          </cell>
          <cell r="L63">
            <v>1319939.6499999999</v>
          </cell>
          <cell r="M63">
            <v>6.99</v>
          </cell>
          <cell r="N63">
            <v>1248699.43</v>
          </cell>
          <cell r="O63">
            <v>6.99</v>
          </cell>
          <cell r="P63">
            <v>1091389.8</v>
          </cell>
          <cell r="Q63">
            <v>6.99</v>
          </cell>
          <cell r="R63">
            <v>1316143.52</v>
          </cell>
          <cell r="T63">
            <v>1416383.41</v>
          </cell>
          <cell r="V63">
            <v>1689916.73</v>
          </cell>
          <cell r="W63">
            <v>20.97</v>
          </cell>
          <cell r="X63">
            <v>2174354.31</v>
          </cell>
          <cell r="Y63">
            <v>25.65</v>
          </cell>
          <cell r="Z63">
            <v>2070437.85</v>
          </cell>
          <cell r="AA63">
            <v>14.99</v>
          </cell>
          <cell r="AB63">
            <v>1810840.14</v>
          </cell>
          <cell r="AC63">
            <v>19.39</v>
          </cell>
          <cell r="AD63">
            <v>1672396.13</v>
          </cell>
          <cell r="AF63">
            <v>1904587.6</v>
          </cell>
          <cell r="AG63">
            <v>14.99</v>
          </cell>
          <cell r="AH63">
            <v>1790580.06</v>
          </cell>
          <cell r="AI63">
            <v>29.98</v>
          </cell>
          <cell r="AJ63">
            <v>1995114.95</v>
          </cell>
          <cell r="AL63">
            <v>2399422.21</v>
          </cell>
          <cell r="AM63">
            <v>29.28</v>
          </cell>
          <cell r="AN63">
            <v>2531424.66</v>
          </cell>
          <cell r="AO63">
            <v>4.8099999999999996</v>
          </cell>
          <cell r="AP63">
            <v>2126731.4700000002</v>
          </cell>
          <cell r="AQ63">
            <v>14.99</v>
          </cell>
          <cell r="AR63">
            <v>2593867.2999999998</v>
          </cell>
          <cell r="AS63">
            <v>29.98</v>
          </cell>
          <cell r="AT63">
            <v>2079176.74</v>
          </cell>
          <cell r="AV63">
            <v>2132056.31</v>
          </cell>
          <cell r="AW63">
            <v>14.99</v>
          </cell>
          <cell r="AX63">
            <v>2641142.3199999998</v>
          </cell>
          <cell r="AY63">
            <v>14.99</v>
          </cell>
          <cell r="AZ63">
            <v>2357939.2599999998</v>
          </cell>
          <cell r="BA63">
            <v>29.98</v>
          </cell>
        </row>
        <row r="64">
          <cell r="C64">
            <v>59000</v>
          </cell>
          <cell r="D64">
            <v>800000</v>
          </cell>
          <cell r="E64">
            <v>1600000</v>
          </cell>
          <cell r="F64">
            <v>14790.31</v>
          </cell>
          <cell r="H64">
            <v>24698.2</v>
          </cell>
          <cell r="J64">
            <v>15490.7</v>
          </cell>
          <cell r="L64">
            <v>23993.360000000001</v>
          </cell>
          <cell r="N64">
            <v>16572.09</v>
          </cell>
          <cell r="P64">
            <v>18454.810000000001</v>
          </cell>
          <cell r="R64">
            <v>22871.73</v>
          </cell>
          <cell r="T64">
            <v>21754.84</v>
          </cell>
          <cell r="V64">
            <v>34168.379999999997</v>
          </cell>
          <cell r="X64">
            <v>39854.32</v>
          </cell>
          <cell r="Z64">
            <v>42514.58</v>
          </cell>
          <cell r="AB64">
            <v>30592.68</v>
          </cell>
          <cell r="AD64">
            <v>37705.879999999997</v>
          </cell>
          <cell r="AF64">
            <v>121778.12</v>
          </cell>
          <cell r="AH64">
            <v>47098.54</v>
          </cell>
          <cell r="AI64">
            <v>0.49</v>
          </cell>
          <cell r="AJ64">
            <v>42950.37</v>
          </cell>
          <cell r="AL64">
            <v>40332.379999999997</v>
          </cell>
          <cell r="AM64">
            <v>0.98</v>
          </cell>
          <cell r="AN64">
            <v>40855.15</v>
          </cell>
          <cell r="AP64">
            <v>58062.64</v>
          </cell>
          <cell r="AQ64">
            <v>1.99</v>
          </cell>
          <cell r="AR64">
            <v>66269.53</v>
          </cell>
          <cell r="AS64">
            <v>3.98</v>
          </cell>
          <cell r="AT64">
            <v>156680.31</v>
          </cell>
          <cell r="AV64">
            <v>50726.8</v>
          </cell>
          <cell r="AW64">
            <v>1.99</v>
          </cell>
          <cell r="AX64">
            <v>61134.93</v>
          </cell>
          <cell r="AY64">
            <v>1.99</v>
          </cell>
          <cell r="AZ64">
            <v>70536.740000000005</v>
          </cell>
          <cell r="BA64">
            <v>4.2699999999999996</v>
          </cell>
        </row>
        <row r="65">
          <cell r="C65">
            <v>59558</v>
          </cell>
          <cell r="D65">
            <v>1800000</v>
          </cell>
          <cell r="E65">
            <v>3600000</v>
          </cell>
          <cell r="F65">
            <v>884339.61</v>
          </cell>
          <cell r="G65">
            <v>4.13</v>
          </cell>
          <cell r="H65">
            <v>679461.6</v>
          </cell>
          <cell r="I65">
            <v>4.8600000000000003</v>
          </cell>
          <cell r="J65">
            <v>693802.42</v>
          </cell>
          <cell r="K65">
            <v>4.8</v>
          </cell>
          <cell r="L65">
            <v>919196.31</v>
          </cell>
          <cell r="M65">
            <v>4.74</v>
          </cell>
          <cell r="N65">
            <v>858519.79</v>
          </cell>
          <cell r="O65">
            <v>5.93</v>
          </cell>
          <cell r="P65">
            <v>1172381.48</v>
          </cell>
          <cell r="Q65">
            <v>5.85</v>
          </cell>
          <cell r="R65">
            <v>715887.38</v>
          </cell>
          <cell r="S65">
            <v>5.78</v>
          </cell>
          <cell r="T65">
            <v>665345.77</v>
          </cell>
          <cell r="U65">
            <v>5.7</v>
          </cell>
          <cell r="V65">
            <v>1062668.5900000001</v>
          </cell>
          <cell r="W65">
            <v>5.63</v>
          </cell>
          <cell r="X65">
            <v>987564.96</v>
          </cell>
          <cell r="Y65">
            <v>5.58</v>
          </cell>
          <cell r="Z65">
            <v>1059770.3400000001</v>
          </cell>
          <cell r="AA65">
            <v>5.55</v>
          </cell>
          <cell r="AB65">
            <v>932237.71</v>
          </cell>
          <cell r="AC65">
            <v>5.35</v>
          </cell>
          <cell r="AD65">
            <v>648130.73</v>
          </cell>
          <cell r="AE65">
            <v>6.38</v>
          </cell>
          <cell r="AF65">
            <v>481624.58</v>
          </cell>
          <cell r="AG65">
            <v>6.25</v>
          </cell>
          <cell r="AH65">
            <v>635258.31000000006</v>
          </cell>
          <cell r="AI65">
            <v>5.95</v>
          </cell>
          <cell r="AJ65">
            <v>521509.08</v>
          </cell>
          <cell r="AK65">
            <v>5.8</v>
          </cell>
          <cell r="AL65">
            <v>562534.49</v>
          </cell>
          <cell r="AM65">
            <v>16.989999999999998</v>
          </cell>
          <cell r="AN65">
            <v>553315.81000000006</v>
          </cell>
          <cell r="AO65">
            <v>18.78</v>
          </cell>
          <cell r="AP65">
            <v>774250.53</v>
          </cell>
          <cell r="AQ65">
            <v>19.100000000000001</v>
          </cell>
          <cell r="AR65">
            <v>546616</v>
          </cell>
          <cell r="AS65">
            <v>7.53</v>
          </cell>
          <cell r="AT65">
            <v>424229.38</v>
          </cell>
          <cell r="AU65">
            <v>21.53</v>
          </cell>
          <cell r="AV65">
            <v>533915.05000000005</v>
          </cell>
          <cell r="AW65">
            <v>22.07</v>
          </cell>
          <cell r="AX65">
            <v>455857.5</v>
          </cell>
          <cell r="AY65">
            <v>40.229999999999997</v>
          </cell>
          <cell r="AZ65">
            <v>781017.86</v>
          </cell>
          <cell r="BA65">
            <v>22.55</v>
          </cell>
        </row>
        <row r="67">
          <cell r="C67">
            <v>451</v>
          </cell>
          <cell r="D67">
            <v>10000000</v>
          </cell>
          <cell r="E67">
            <v>10000000</v>
          </cell>
          <cell r="F67">
            <v>158646.62</v>
          </cell>
          <cell r="G67">
            <v>29.7</v>
          </cell>
          <cell r="H67">
            <v>16468.62</v>
          </cell>
          <cell r="I67">
            <v>29.79</v>
          </cell>
          <cell r="J67">
            <v>396562.76</v>
          </cell>
          <cell r="K67">
            <v>179.38</v>
          </cell>
          <cell r="L67">
            <v>934487.62</v>
          </cell>
          <cell r="M67">
            <v>29.35</v>
          </cell>
          <cell r="N67">
            <v>1252861.3999999999</v>
          </cell>
          <cell r="O67">
            <v>29.48</v>
          </cell>
          <cell r="P67">
            <v>720937.12</v>
          </cell>
          <cell r="Q67">
            <v>29.82</v>
          </cell>
          <cell r="R67">
            <v>1576278.46</v>
          </cell>
          <cell r="S67">
            <v>29.65</v>
          </cell>
          <cell r="T67">
            <v>255898.62</v>
          </cell>
          <cell r="U67">
            <v>29.29</v>
          </cell>
          <cell r="V67">
            <v>162618.62</v>
          </cell>
          <cell r="W67">
            <v>29.17</v>
          </cell>
          <cell r="X67">
            <v>22698.62</v>
          </cell>
          <cell r="Y67">
            <v>29.76</v>
          </cell>
          <cell r="Z67">
            <v>23975.53</v>
          </cell>
          <cell r="AA67">
            <v>30.11</v>
          </cell>
          <cell r="AB67">
            <v>23902.93</v>
          </cell>
          <cell r="AC67">
            <v>35.57</v>
          </cell>
          <cell r="AD67">
            <v>533662.93000000005</v>
          </cell>
          <cell r="AE67">
            <v>39.22</v>
          </cell>
          <cell r="AF67">
            <v>503592.93</v>
          </cell>
          <cell r="AG67">
            <v>41.36</v>
          </cell>
          <cell r="AH67">
            <v>106307.28</v>
          </cell>
          <cell r="AI67">
            <v>316.57</v>
          </cell>
          <cell r="AJ67">
            <v>635005.96</v>
          </cell>
          <cell r="AK67">
            <v>42.98</v>
          </cell>
          <cell r="AL67">
            <v>687070.73</v>
          </cell>
          <cell r="AM67">
            <v>43.36</v>
          </cell>
          <cell r="AN67">
            <v>389615.53</v>
          </cell>
          <cell r="AO67">
            <v>43.47</v>
          </cell>
          <cell r="AP67">
            <v>2460647.79</v>
          </cell>
          <cell r="AQ67">
            <v>41.57</v>
          </cell>
          <cell r="AR67">
            <v>4177349.89</v>
          </cell>
          <cell r="AS67">
            <v>44</v>
          </cell>
          <cell r="AT67">
            <v>4855063.05</v>
          </cell>
          <cell r="AU67">
            <v>44.04</v>
          </cell>
          <cell r="AV67">
            <v>4505875.38</v>
          </cell>
          <cell r="AW67">
            <v>44.69</v>
          </cell>
          <cell r="AX67">
            <v>5922978.8399999999</v>
          </cell>
          <cell r="AY67">
            <v>202.7</v>
          </cell>
          <cell r="AZ67">
            <v>4209961.04</v>
          </cell>
          <cell r="BA67">
            <v>43.05</v>
          </cell>
        </row>
        <row r="68">
          <cell r="C68">
            <v>6206</v>
          </cell>
          <cell r="D68">
            <v>800000</v>
          </cell>
          <cell r="E68">
            <v>800000</v>
          </cell>
          <cell r="F68">
            <v>81983.600000000006</v>
          </cell>
          <cell r="H68">
            <v>170648.6</v>
          </cell>
          <cell r="J68">
            <v>190201.92</v>
          </cell>
          <cell r="L68">
            <v>317891.19</v>
          </cell>
          <cell r="N68">
            <v>271626.18</v>
          </cell>
          <cell r="P68">
            <v>242813.88</v>
          </cell>
          <cell r="R68">
            <v>68579.679999999993</v>
          </cell>
          <cell r="T68">
            <v>132879.67999999999</v>
          </cell>
          <cell r="V68">
            <v>260878.18</v>
          </cell>
          <cell r="X68">
            <v>74691.399999999994</v>
          </cell>
          <cell r="Z68">
            <v>79357.399999999994</v>
          </cell>
          <cell r="AB68">
            <v>113357.4</v>
          </cell>
          <cell r="AD68">
            <v>90460.38</v>
          </cell>
          <cell r="AF68">
            <v>226128.38</v>
          </cell>
          <cell r="AH68">
            <v>258977.67</v>
          </cell>
          <cell r="AJ68">
            <v>85794.38</v>
          </cell>
          <cell r="AL68">
            <v>85866.98</v>
          </cell>
          <cell r="AN68">
            <v>86012.18</v>
          </cell>
          <cell r="AP68">
            <v>98562.81</v>
          </cell>
          <cell r="AR68">
            <v>98562.81</v>
          </cell>
          <cell r="AT68">
            <v>197894.11</v>
          </cell>
          <cell r="AV68">
            <v>268420.17</v>
          </cell>
          <cell r="AX68">
            <v>106394.11</v>
          </cell>
          <cell r="AZ68">
            <v>285223.31</v>
          </cell>
        </row>
        <row r="69">
          <cell r="C69">
            <v>59750</v>
          </cell>
          <cell r="D69">
            <v>13700000</v>
          </cell>
          <cell r="E69">
            <v>13700000</v>
          </cell>
          <cell r="F69">
            <v>4967353.97</v>
          </cell>
          <cell r="G69">
            <v>43.17</v>
          </cell>
          <cell r="H69">
            <v>5192911.34</v>
          </cell>
          <cell r="I69">
            <v>19.59</v>
          </cell>
          <cell r="J69">
            <v>4077508.4</v>
          </cell>
          <cell r="K69">
            <v>66.31</v>
          </cell>
          <cell r="L69">
            <v>3949073.48</v>
          </cell>
          <cell r="M69">
            <v>535.88</v>
          </cell>
          <cell r="N69">
            <v>5621622.2000000002</v>
          </cell>
          <cell r="O69">
            <v>142.76</v>
          </cell>
          <cell r="P69">
            <v>4528594.71</v>
          </cell>
          <cell r="Q69">
            <v>70.489999999999995</v>
          </cell>
          <cell r="R69">
            <v>4537441.54</v>
          </cell>
          <cell r="S69">
            <v>43.32</v>
          </cell>
          <cell r="T69">
            <v>3953846.57</v>
          </cell>
          <cell r="U69">
            <v>129.30000000000001</v>
          </cell>
          <cell r="V69">
            <v>4856438.3099999996</v>
          </cell>
          <cell r="W69">
            <v>69.94</v>
          </cell>
          <cell r="X69">
            <v>5611711.9199999999</v>
          </cell>
          <cell r="Y69">
            <v>21.13</v>
          </cell>
          <cell r="Z69">
            <v>5122192.62</v>
          </cell>
          <cell r="AA69">
            <v>64.41</v>
          </cell>
          <cell r="AB69">
            <v>6354189.5</v>
          </cell>
          <cell r="AC69">
            <v>2519.38</v>
          </cell>
          <cell r="AD69">
            <v>5497806.9699999997</v>
          </cell>
          <cell r="AE69">
            <v>439.22</v>
          </cell>
          <cell r="AF69">
            <v>9797041.0899999999</v>
          </cell>
          <cell r="AG69">
            <v>1672.05</v>
          </cell>
          <cell r="AH69">
            <v>8091023.3099999996</v>
          </cell>
          <cell r="AI69">
            <v>78.849999999999994</v>
          </cell>
          <cell r="AJ69">
            <v>7433263.2300000004</v>
          </cell>
          <cell r="AK69">
            <v>36.979999999999997</v>
          </cell>
          <cell r="AL69">
            <v>7152700.54</v>
          </cell>
          <cell r="AM69">
            <v>219.48</v>
          </cell>
          <cell r="AN69">
            <v>5540347.1900000004</v>
          </cell>
          <cell r="AO69">
            <v>58.17</v>
          </cell>
          <cell r="AP69">
            <v>7377952.96</v>
          </cell>
          <cell r="AQ69">
            <v>36.6</v>
          </cell>
          <cell r="AR69">
            <v>7405771.6200000001</v>
          </cell>
          <cell r="AS69">
            <v>120.33</v>
          </cell>
          <cell r="AT69">
            <v>6619394.79</v>
          </cell>
          <cell r="AU69">
            <v>164.51</v>
          </cell>
          <cell r="AV69">
            <v>6444749.2300000004</v>
          </cell>
          <cell r="AW69">
            <v>71.400000000000006</v>
          </cell>
          <cell r="AX69">
            <v>14119575.01</v>
          </cell>
          <cell r="AY69">
            <v>1486.89</v>
          </cell>
          <cell r="AZ69">
            <v>7237043.2699999996</v>
          </cell>
          <cell r="BA69">
            <v>487.75</v>
          </cell>
        </row>
        <row r="70">
          <cell r="C70">
            <v>85455</v>
          </cell>
          <cell r="D70">
            <v>2000000</v>
          </cell>
          <cell r="E70">
            <v>2000000</v>
          </cell>
          <cell r="F70">
            <v>94571.38</v>
          </cell>
          <cell r="H70">
            <v>207378.83</v>
          </cell>
          <cell r="J70">
            <v>132957.56</v>
          </cell>
          <cell r="L70">
            <v>220977.1</v>
          </cell>
          <cell r="M70">
            <v>20.73</v>
          </cell>
          <cell r="N70">
            <v>68524.94</v>
          </cell>
          <cell r="P70">
            <v>93990.06</v>
          </cell>
          <cell r="R70">
            <v>551.83000000000004</v>
          </cell>
          <cell r="T70">
            <v>26530.74</v>
          </cell>
          <cell r="V70">
            <v>27551.82</v>
          </cell>
          <cell r="X70">
            <v>27551.82</v>
          </cell>
          <cell r="Z70">
            <v>68575.28</v>
          </cell>
          <cell r="AB70">
            <v>269.83999999999997</v>
          </cell>
          <cell r="AD70">
            <v>562.04</v>
          </cell>
          <cell r="AF70">
            <v>265.26</v>
          </cell>
          <cell r="AH70">
            <v>306.14</v>
          </cell>
          <cell r="AJ70">
            <v>176.93</v>
          </cell>
          <cell r="AL70">
            <v>271.44</v>
          </cell>
          <cell r="AN70">
            <v>1986764.96</v>
          </cell>
          <cell r="AP70">
            <v>774406.52</v>
          </cell>
          <cell r="AQ70">
            <v>174</v>
          </cell>
          <cell r="AR70">
            <v>335938.71</v>
          </cell>
          <cell r="AS70">
            <v>27</v>
          </cell>
          <cell r="AT70">
            <v>916427.12</v>
          </cell>
          <cell r="AU70">
            <v>45</v>
          </cell>
          <cell r="AV70">
            <v>775549.02</v>
          </cell>
          <cell r="AW70">
            <v>70.81</v>
          </cell>
          <cell r="AX70">
            <v>205426.57</v>
          </cell>
          <cell r="AY70">
            <v>45</v>
          </cell>
          <cell r="AZ70">
            <v>-634892.64</v>
          </cell>
          <cell r="BA70">
            <v>45</v>
          </cell>
        </row>
        <row r="71">
          <cell r="C71">
            <v>1645</v>
          </cell>
          <cell r="D71">
            <v>3000000</v>
          </cell>
          <cell r="E71">
            <v>3000000</v>
          </cell>
          <cell r="F71">
            <v>934294.69</v>
          </cell>
          <cell r="H71">
            <v>1295191.4099999999</v>
          </cell>
          <cell r="J71">
            <v>1242068.58</v>
          </cell>
          <cell r="L71">
            <v>1606274.11</v>
          </cell>
          <cell r="N71">
            <v>1370051.19</v>
          </cell>
          <cell r="O71">
            <v>59.5</v>
          </cell>
          <cell r="P71">
            <v>1612790.38</v>
          </cell>
          <cell r="R71">
            <v>1436212.89</v>
          </cell>
          <cell r="T71">
            <v>1582184.19</v>
          </cell>
          <cell r="V71">
            <v>1721991.19</v>
          </cell>
          <cell r="X71">
            <v>1308313.25</v>
          </cell>
          <cell r="Z71">
            <v>2045868.19</v>
          </cell>
          <cell r="AB71">
            <v>1562858.2</v>
          </cell>
          <cell r="AD71">
            <v>1662014.52</v>
          </cell>
          <cell r="AF71">
            <v>1766318.82</v>
          </cell>
          <cell r="AH71">
            <v>1758442.73</v>
          </cell>
          <cell r="AJ71">
            <v>1812385.31</v>
          </cell>
          <cell r="AL71">
            <v>1982950.76</v>
          </cell>
          <cell r="AM71">
            <v>59.5</v>
          </cell>
          <cell r="AN71">
            <v>1986764.96</v>
          </cell>
          <cell r="AP71">
            <v>1780125.38</v>
          </cell>
          <cell r="AR71">
            <v>1942285.2</v>
          </cell>
          <cell r="AT71">
            <v>2492094.5499999998</v>
          </cell>
          <cell r="AV71">
            <v>2357519.92</v>
          </cell>
          <cell r="AX71">
            <v>3008724.8</v>
          </cell>
          <cell r="AZ71">
            <v>2050268.8</v>
          </cell>
        </row>
        <row r="72">
          <cell r="C72">
            <v>58781</v>
          </cell>
          <cell r="D72">
            <v>1500000</v>
          </cell>
          <cell r="E72">
            <v>1500000</v>
          </cell>
          <cell r="F72">
            <v>134.31</v>
          </cell>
          <cell r="G72">
            <v>607.55999999999995</v>
          </cell>
          <cell r="H72">
            <v>134.31</v>
          </cell>
          <cell r="I72">
            <v>105.99</v>
          </cell>
          <cell r="J72">
            <v>134.31</v>
          </cell>
          <cell r="L72" t="str">
            <v>241235,82-</v>
          </cell>
          <cell r="N72">
            <v>420433.44</v>
          </cell>
          <cell r="O72">
            <v>1137.5999999999999</v>
          </cell>
          <cell r="P72" t="str">
            <v>230508,15-</v>
          </cell>
          <cell r="R72" t="str">
            <v xml:space="preserve"> 21361,65-</v>
          </cell>
          <cell r="S72">
            <v>238.8</v>
          </cell>
          <cell r="T72">
            <v>924407.52</v>
          </cell>
          <cell r="V72">
            <v>268.62</v>
          </cell>
          <cell r="X72">
            <v>1112775.02</v>
          </cell>
          <cell r="Z72">
            <v>123411.97</v>
          </cell>
          <cell r="AB72">
            <v>56153.67</v>
          </cell>
          <cell r="AC72">
            <v>159.9</v>
          </cell>
          <cell r="AD72">
            <v>521847.79</v>
          </cell>
          <cell r="AF72">
            <v>35154.74</v>
          </cell>
          <cell r="AG72">
            <v>105.99</v>
          </cell>
          <cell r="AH72">
            <v>-19943.900000000001</v>
          </cell>
          <cell r="AI72">
            <v>42</v>
          </cell>
          <cell r="AJ72">
            <v>119731.72</v>
          </cell>
          <cell r="AL72">
            <v>259252.62</v>
          </cell>
          <cell r="AN72">
            <v>268.62</v>
          </cell>
          <cell r="AP72">
            <v>479271.86</v>
          </cell>
          <cell r="AQ72">
            <v>138.80000000000001</v>
          </cell>
          <cell r="AR72">
            <v>976268.99</v>
          </cell>
          <cell r="AT72">
            <v>268.62</v>
          </cell>
          <cell r="AV72">
            <v>341.22</v>
          </cell>
          <cell r="AX72">
            <v>135451.96</v>
          </cell>
          <cell r="AZ72">
            <v>206376.71</v>
          </cell>
          <cell r="BA72">
            <v>169.9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Parámetros"/>
      <sheetName val="Base de Datos"/>
      <sheetName val="Matrices de Transición"/>
      <sheetName val="Matrices Vertical"/>
      <sheetName val="IPC"/>
    </sheetNames>
    <sheetDataSet>
      <sheetData sheetId="0">
        <row r="11">
          <cell r="D11">
            <v>5.2670870498743279E-3</v>
          </cell>
        </row>
        <row r="12">
          <cell r="D12">
            <v>4.1599564264279444E-2</v>
          </cell>
        </row>
        <row r="21">
          <cell r="B21">
            <v>0.66499985814979368</v>
          </cell>
        </row>
        <row r="22">
          <cell r="B22">
            <v>0.92250106026350687</v>
          </cell>
        </row>
        <row r="23">
          <cell r="B23">
            <v>0.98633635284151844</v>
          </cell>
        </row>
      </sheetData>
      <sheetData sheetId="1">
        <row r="12">
          <cell r="A12" t="str">
            <v>Cuenta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6D5F6-C6BF-4940-931C-63E3641C1AA2}">
  <dimension ref="A1:W76"/>
  <sheetViews>
    <sheetView showGridLines="0" zoomScale="80" zoomScaleNormal="80" workbookViewId="0">
      <selection activeCell="H2" sqref="H2"/>
    </sheetView>
  </sheetViews>
  <sheetFormatPr baseColWidth="10" defaultColWidth="9.1796875" defaultRowHeight="14.5" x14ac:dyDescent="0.35"/>
  <cols>
    <col min="1" max="2" width="20.1796875" customWidth="1"/>
    <col min="4" max="5" width="20.81640625" customWidth="1"/>
    <col min="6" max="6" width="15.54296875" bestFit="1" customWidth="1"/>
    <col min="7" max="8" width="20.7265625" customWidth="1"/>
    <col min="9" max="9" width="14.81640625" customWidth="1"/>
    <col min="10" max="10" width="18.81640625" customWidth="1"/>
    <col min="11" max="11" width="13.54296875" customWidth="1"/>
    <col min="12" max="12" width="12.54296875" customWidth="1"/>
    <col min="13" max="13" width="19" customWidth="1"/>
    <col min="14" max="14" width="16.54296875" customWidth="1"/>
    <col min="15" max="15" width="12.7265625" customWidth="1"/>
    <col min="16" max="16" width="10.453125" bestFit="1" customWidth="1"/>
    <col min="17" max="17" width="13.1796875" bestFit="1" customWidth="1"/>
    <col min="19" max="19" width="16.453125" customWidth="1"/>
    <col min="20" max="20" width="12.1796875" bestFit="1" customWidth="1"/>
    <col min="22" max="23" width="10.453125" bestFit="1" customWidth="1"/>
  </cols>
  <sheetData>
    <row r="1" spans="1:23" ht="15" thickBot="1" x14ac:dyDescent="0.4">
      <c r="A1" s="103" t="s">
        <v>0</v>
      </c>
      <c r="B1" s="104"/>
      <c r="D1" s="116"/>
      <c r="F1" s="17"/>
      <c r="G1" s="17"/>
      <c r="I1" s="120"/>
      <c r="J1" s="120"/>
      <c r="K1" s="120"/>
      <c r="L1" s="120"/>
      <c r="M1" s="120"/>
      <c r="N1" s="120"/>
      <c r="O1" s="121"/>
    </row>
    <row r="2" spans="1:23" x14ac:dyDescent="0.35">
      <c r="A2" s="9" t="s">
        <v>1</v>
      </c>
      <c r="B2" s="10">
        <f>SUM('Cartera_Viva-Calls'!AJ7:AJ8)</f>
        <v>33128.7656862152</v>
      </c>
      <c r="C2" s="132">
        <f>B2/$B$5</f>
        <v>5.8335828731687365E-3</v>
      </c>
      <c r="F2" s="115"/>
      <c r="G2" s="17"/>
      <c r="H2" s="119"/>
      <c r="I2" s="3"/>
      <c r="J2" s="3"/>
      <c r="K2" s="3"/>
      <c r="L2" s="116"/>
      <c r="M2" s="93"/>
      <c r="N2" s="93"/>
      <c r="O2" s="4"/>
    </row>
    <row r="3" spans="1:23" ht="15" thickBot="1" x14ac:dyDescent="0.4">
      <c r="A3" s="13" t="s">
        <v>2</v>
      </c>
      <c r="B3" s="14">
        <f>+SUM('Cartera_Viva-Otros'!AN:AN)</f>
        <v>4330544.0971800815</v>
      </c>
      <c r="C3" s="132">
        <f>B3/$B$5</f>
        <v>0.76255747395150897</v>
      </c>
      <c r="D3" s="116"/>
      <c r="G3" s="17"/>
      <c r="H3" s="142"/>
      <c r="I3" s="3"/>
      <c r="J3" s="3"/>
      <c r="K3" s="3"/>
      <c r="L3" s="116"/>
      <c r="M3" s="93"/>
      <c r="N3" s="116"/>
      <c r="O3" s="118"/>
    </row>
    <row r="4" spans="1:23" ht="15" thickBot="1" x14ac:dyDescent="0.4">
      <c r="A4" s="13" t="s">
        <v>3</v>
      </c>
      <c r="B4" s="14">
        <f>+SUM(Saldos_No_Util!O:O)</f>
        <v>1315301.1752997243</v>
      </c>
      <c r="C4" s="132">
        <f>B4/$B$5</f>
        <v>0.23160894317532227</v>
      </c>
      <c r="D4" s="15" t="s">
        <v>4</v>
      </c>
      <c r="E4" s="16">
        <v>1000000</v>
      </c>
      <c r="F4" s="115"/>
      <c r="H4" s="3"/>
      <c r="I4" s="3"/>
      <c r="J4" s="122"/>
      <c r="K4" s="122"/>
      <c r="L4" s="122"/>
      <c r="O4" s="118"/>
    </row>
    <row r="5" spans="1:23" ht="15" thickBot="1" x14ac:dyDescent="0.4">
      <c r="A5" s="15" t="s">
        <v>5</v>
      </c>
      <c r="B5" s="16">
        <f>+SUM(B2:B4)</f>
        <v>5678974.038166021</v>
      </c>
      <c r="F5" s="115"/>
      <c r="G5" s="133"/>
      <c r="H5" s="141"/>
      <c r="I5" s="2"/>
    </row>
    <row r="6" spans="1:23" x14ac:dyDescent="0.35">
      <c r="F6" s="17"/>
      <c r="G6" s="17"/>
    </row>
    <row r="7" spans="1:23" ht="15" thickBot="1" x14ac:dyDescent="0.4">
      <c r="A7" s="28" t="s">
        <v>6</v>
      </c>
      <c r="D7" s="28" t="s">
        <v>7</v>
      </c>
      <c r="G7" s="28" t="s">
        <v>8</v>
      </c>
      <c r="J7" s="28" t="s">
        <v>9</v>
      </c>
      <c r="M7" s="28" t="s">
        <v>10</v>
      </c>
      <c r="S7" s="28" t="s">
        <v>11</v>
      </c>
    </row>
    <row r="8" spans="1:23" ht="25.5" customHeight="1" x14ac:dyDescent="0.35">
      <c r="A8" s="20" t="s">
        <v>12</v>
      </c>
      <c r="B8" s="20" t="s">
        <v>13</v>
      </c>
      <c r="D8" s="106" t="s">
        <v>14</v>
      </c>
      <c r="E8" s="20" t="s">
        <v>15</v>
      </c>
      <c r="G8" s="106" t="s">
        <v>16</v>
      </c>
      <c r="H8" s="20" t="s">
        <v>17</v>
      </c>
      <c r="J8" s="108" t="s">
        <v>18</v>
      </c>
      <c r="K8" s="20" t="s">
        <v>13</v>
      </c>
      <c r="M8" s="109" t="s">
        <v>19</v>
      </c>
      <c r="N8" s="111" t="s">
        <v>20</v>
      </c>
      <c r="O8" s="111" t="s">
        <v>21</v>
      </c>
      <c r="P8" s="111" t="s">
        <v>22</v>
      </c>
      <c r="Q8" s="109" t="s">
        <v>23</v>
      </c>
      <c r="S8" s="109" t="s">
        <v>24</v>
      </c>
      <c r="T8" s="109" t="s">
        <v>25</v>
      </c>
      <c r="U8" s="109" t="s">
        <v>26</v>
      </c>
      <c r="V8" s="109" t="s">
        <v>27</v>
      </c>
      <c r="W8" s="33" t="s">
        <v>28</v>
      </c>
    </row>
    <row r="9" spans="1:23" ht="117.65" customHeight="1" thickBot="1" x14ac:dyDescent="0.4">
      <c r="A9" s="105"/>
      <c r="B9" s="24">
        <v>46112</v>
      </c>
      <c r="D9" s="107"/>
      <c r="E9" s="24">
        <f>$B$9</f>
        <v>46112</v>
      </c>
      <c r="G9" s="107"/>
      <c r="H9" s="24">
        <f>$B$9</f>
        <v>46112</v>
      </c>
      <c r="J9" s="21"/>
      <c r="K9" s="24">
        <f>$B$9</f>
        <v>46112</v>
      </c>
      <c r="M9" s="110"/>
      <c r="N9" s="112"/>
      <c r="O9" s="112"/>
      <c r="P9" s="112"/>
      <c r="Q9" s="110"/>
      <c r="S9" s="110"/>
      <c r="T9" s="110"/>
      <c r="U9" s="110"/>
      <c r="V9" s="110"/>
      <c r="W9" s="35" t="s">
        <v>29</v>
      </c>
    </row>
    <row r="10" spans="1:23" ht="27.65" customHeight="1" thickBot="1" x14ac:dyDescent="0.4">
      <c r="A10" s="21" t="s">
        <v>30</v>
      </c>
      <c r="B10" s="70">
        <f>+B5/$E$4</f>
        <v>5.6789740381660208</v>
      </c>
      <c r="D10" s="21" t="s">
        <v>31</v>
      </c>
      <c r="E10" s="70">
        <f>+(SUMIF('Cartera_Viva-Otros'!AL:AL,"1",'Cartera_Viva-Otros'!AN:AN)+SUMIF(Saldos_No_Util!K:K,"1",Saldos_No_Util!O:O)+SUMIF('Cartera_Viva-Calls'!Z:Z,"1",'Cartera_Viva-Calls'!AJ:AJ))/$E$4</f>
        <v>3.5256465175713263</v>
      </c>
      <c r="G10" s="21" t="s">
        <v>31</v>
      </c>
      <c r="H10" s="44">
        <f>+(SUMIF('Cartera_Viva-Otros'!AL:AL,"1",'Cartera_Viva-Otros'!AM:AM)+SUMIF(Saldos_No_Util!K:K,"1",Saldos_No_Util!G:G)+SUMIF('Cartera_Viva-Calls'!Z:Z,"1",'Cartera_Viva-Calls'!AC:AC))/$E$4</f>
        <v>1270.3830567110238</v>
      </c>
      <c r="I10" s="3">
        <f>H10*1000000</f>
        <v>1270383056.7110238</v>
      </c>
      <c r="J10" s="26" t="s">
        <v>32</v>
      </c>
      <c r="K10" s="84">
        <f>+(SUMIFS('Cartera_Viva-Otros'!AN:AN,'Cartera_Viva-Otros'!P:P,"F")+SUMIFS(Saldos_No_Util!O:O,Saldos_No_Util!P:P,"F"))/$E$4</f>
        <v>1.1600158872254467</v>
      </c>
      <c r="M10" s="30" t="s">
        <v>31</v>
      </c>
      <c r="N10" s="31"/>
      <c r="O10" s="31"/>
      <c r="P10" s="31"/>
      <c r="Q10" s="31"/>
      <c r="S10" s="30" t="s">
        <v>31</v>
      </c>
      <c r="T10" s="36"/>
      <c r="U10" s="37"/>
      <c r="V10" s="36"/>
      <c r="W10" s="36"/>
    </row>
    <row r="11" spans="1:23" ht="26.5" thickBot="1" x14ac:dyDescent="0.4">
      <c r="A11" s="21" t="s">
        <v>33</v>
      </c>
      <c r="B11" s="40"/>
      <c r="D11" s="21" t="s">
        <v>34</v>
      </c>
      <c r="E11" s="70">
        <f>+(SUMIF('Cartera_Viva-Otros'!AL:AL,"2",'Cartera_Viva-Otros'!AN:AN)+SUMIF(Saldos_No_Util!K:K,"2",Saldos_No_Util!O:O)+SUMIF('Cartera_Viva-Calls'!Z:Z,"2",'Cartera_Viva-Calls'!AJ:AJ))/$E$4</f>
        <v>0</v>
      </c>
      <c r="G11" s="21" t="s">
        <v>34</v>
      </c>
      <c r="H11" s="43">
        <f>+(SUMIF('Cartera_Viva-Otros'!AL:AL,"2",'Cartera_Viva-Otros'!AM:AM)+SUMIF(Saldos_No_Util!K:K,"2",Saldos_No_Util!G:G)+SUMIF('Cartera_Viva-Calls'!Z:Z,"2",'Cartera_Viva-Calls'!AC:AC))/$E$4</f>
        <v>0</v>
      </c>
      <c r="I11" s="3">
        <f t="shared" ref="I11:I12" si="0">H11*1000000</f>
        <v>0</v>
      </c>
      <c r="J11" s="26" t="s">
        <v>35</v>
      </c>
      <c r="K11" s="41">
        <f>+(SUMIFS('Cartera_Viva-Otros'!AM:AM,'Cartera_Viva-Otros'!P:P,"f")+SUMIFS(Saldos_No_Util!G:G,Saldos_No_Util!P:P,"F"))/$E$4</f>
        <v>152.99961758148396</v>
      </c>
      <c r="M11" s="80" t="s">
        <v>36</v>
      </c>
      <c r="N11" s="81">
        <f>+(SUMIFS('Cartera_Viva-Otros'!AN:AN,'Cartera_Viva-Otros'!AL:AL,"1",'Cartera_Viva-Otros'!P:P,"F")+SUMIFS(Saldos_No_Util!O:O,Saldos_No_Util!K:K,"1",Saldos_No_Util!P:P,"F"))/$E$4</f>
        <v>0.80985860663075349</v>
      </c>
      <c r="O11" s="82" t="e">
        <f>AVERAGEIFS('Cartera_Viva-Otros'!AJ:AJ,'Cartera_Viva-Otros'!AL:AL,"1",'Cartera_Viva-Otros'!P:P,"F")</f>
        <v>#DIV/0!</v>
      </c>
      <c r="P11" s="82" t="e">
        <f>AVERAGEIFS('Cartera_Viva-Otros'!AK:AK,'Cartera_Viva-Otros'!AL:AL,"1",'Cartera_Viva-Otros'!P:P,"F")</f>
        <v>#DIV/0!</v>
      </c>
      <c r="Q11" s="83">
        <f>+(SUMIFS('Cartera_Viva-Otros'!AM:AM,'Cartera_Viva-Otros'!AL:AL,"1",'Cartera_Viva-Otros'!P:P,"F")+SUMIFS(Saldos_No_Util!G:G,Saldos_No_Util!K:K,"1",Saldos_No_Util!P:P,"F"))/$E$4</f>
        <v>152.28764288148398</v>
      </c>
      <c r="S11" s="32" t="s">
        <v>37</v>
      </c>
      <c r="T11" s="38">
        <f>+SUMIFS(Saldos_No_Util!G:G,Saldos_No_Util!K:K,"1",Saldos_No_Util!Q:Q,'Resumen PE'!S11)/$E$4</f>
        <v>168.329871361024</v>
      </c>
      <c r="U11" s="39">
        <f>+AVERAGEIFS(Saldos_No_Util!N:N,Saldos_No_Util!K:K,"1",Saldos_No_Util!Q:Q,'Resumen PE'!S11)</f>
        <v>0.39999999999999969</v>
      </c>
      <c r="V11" s="38">
        <f>+T11*U11</f>
        <v>67.331948544409556</v>
      </c>
      <c r="W11" s="90">
        <f>SUMIFS(Saldos_No_Util!O:O,Saldos_No_Util!K:K,"1",Saldos_No_Util!Q:Q,'Resumen PE'!S11)/$E$4</f>
        <v>0.89517043205445679</v>
      </c>
    </row>
    <row r="12" spans="1:23" ht="27.65" customHeight="1" thickBot="1" x14ac:dyDescent="0.4">
      <c r="D12" s="21" t="s">
        <v>38</v>
      </c>
      <c r="E12" s="70">
        <f>+(SUMIF('Cartera_Viva-Otros'!AL:AL,"3",'Cartera_Viva-Otros'!AN:AN)+SUMIF(Saldos_No_Util!K:K,"3",Saldos_No_Util!O:O)+SUMIF('Cartera_Viva-Calls'!Z:Z,"3",'Cartera_Viva-Calls'!AJ:AJ))/$E$4</f>
        <v>2.1533275205946931</v>
      </c>
      <c r="G12" s="21" t="s">
        <v>38</v>
      </c>
      <c r="H12" s="43">
        <f>+(SUMIF('Cartera_Viva-Otros'!AL:AL,"3",'Cartera_Viva-Otros'!AM:AM)+SUMIF(Saldos_No_Util!K:K,"3",Saldos_No_Util!G:G)+SUMIF('Cartera_Viva-Calls'!Z:Z,"3",'Cartera_Viva-Calls'!AC:AC))/$E$4</f>
        <v>2.5151449400000003</v>
      </c>
      <c r="I12" s="3">
        <f t="shared" si="0"/>
        <v>2515144.9400000004</v>
      </c>
      <c r="J12" s="27" t="s">
        <v>39</v>
      </c>
      <c r="K12" s="45">
        <f>+SUMIFS('Cartera_Viva-Otros'!AM:AM,'Cartera_Viva-Otros'!AO:AO,'Resumen PE'!J12,'Cartera_Viva-Otros'!P:P,"F")/$E$4</f>
        <v>0</v>
      </c>
      <c r="M12" s="73" t="s">
        <v>39</v>
      </c>
      <c r="N12" s="72">
        <f>+SUMIFS('Cartera_Viva-Otros'!AN:AN,'Cartera_Viva-Otros'!AL:AL,"1",'Cartera_Viva-Otros'!P:P,"F",'Cartera_Viva-Otros'!AO:AO,'Resumen PE'!M12)/$E$4</f>
        <v>0</v>
      </c>
      <c r="O12" s="71" t="str">
        <f>IFERROR(AVERAGEIFS('Cartera_Viva-Otros'!AJ:AJ,'Cartera_Viva-Otros'!AL:AL,"1",'Cartera_Viva-Otros'!P:P,"F",'Cartera_Viva-Otros'!AO:AO,'Resumen PE'!M12),"-")</f>
        <v>-</v>
      </c>
      <c r="P12" s="71" t="str">
        <f>IFERROR(AVERAGEIFS('Cartera_Viva-Otros'!AK:AK,'Cartera_Viva-Otros'!AL:AL,"1",'Cartera_Viva-Otros'!P:P,"F",'Cartera_Viva-Otros'!AO:AO,'Resumen PE'!M12),"-")</f>
        <v>-</v>
      </c>
      <c r="Q12" s="68">
        <f>+SUMIFS('Cartera_Viva-Otros'!AM:AM,'Cartera_Viva-Otros'!AL:AL,"1",'Cartera_Viva-Otros'!P:P,"F",'Cartera_Viva-Otros'!AO:AO,'Resumen PE'!M12)/$E$4</f>
        <v>0</v>
      </c>
      <c r="S12" s="32" t="s">
        <v>40</v>
      </c>
      <c r="T12" s="88">
        <f>+SUMIFS(Saldos_No_Util!G:G,Saldos_No_Util!K:K,"1",Saldos_No_Util!Q:Q,'Resumen PE'!S12)/$E$4</f>
        <v>11.52660595</v>
      </c>
      <c r="U12" s="39">
        <f>+AVERAGEIFS(Saldos_No_Util!N:N,Saldos_No_Util!K:K,"1",Saldos_No_Util!Q:Q,'Resumen PE'!S12)</f>
        <v>0.73333333333333339</v>
      </c>
      <c r="V12" s="88">
        <f>+T12*U12</f>
        <v>8.4528443633333339</v>
      </c>
      <c r="W12" s="90">
        <f>+SUMIFS(Saldos_No_Util!O:O,Saldos_No_Util!K:K,"1",Saldos_No_Util!Q:Q,'Resumen PE'!S12)/$E$4</f>
        <v>6.9973462650573789E-2</v>
      </c>
    </row>
    <row r="13" spans="1:23" ht="16" customHeight="1" thickBot="1" x14ac:dyDescent="0.4">
      <c r="E13" s="23"/>
      <c r="F13" s="22"/>
      <c r="H13" s="12"/>
      <c r="J13" s="27" t="s">
        <v>41</v>
      </c>
      <c r="K13" s="45">
        <f>+SUMIFS('Cartera_Viva-Otros'!AM:AM,'Cartera_Viva-Otros'!AO:AO,'Resumen PE'!J13,'Cartera_Viva-Otros'!P:P,"F")/$E$4</f>
        <v>0</v>
      </c>
      <c r="M13" s="73" t="s">
        <v>41</v>
      </c>
      <c r="N13" s="72">
        <f>+SUMIFS('Cartera_Viva-Otros'!AN:AN,'Cartera_Viva-Otros'!AL:AL,"1",'Cartera_Viva-Otros'!P:P,"F",'Cartera_Viva-Otros'!AO:AO,'Resumen PE'!M13)/$E$4</f>
        <v>0</v>
      </c>
      <c r="O13" s="71" t="str">
        <f>IFERROR(AVERAGEIFS('Cartera_Viva-Otros'!AJ:AJ,'Cartera_Viva-Otros'!AL:AL,"1",'Cartera_Viva-Otros'!P:P,"F",'Cartera_Viva-Otros'!AO:AO,'Resumen PE'!M13),"-")</f>
        <v>-</v>
      </c>
      <c r="P13" s="71" t="str">
        <f>IFERROR(AVERAGEIFS('Cartera_Viva-Otros'!AK:AK,'Cartera_Viva-Otros'!AL:AL,"1",'Cartera_Viva-Otros'!P:P,"F",'Cartera_Viva-Otros'!AO:AO,'Resumen PE'!M13),"-")</f>
        <v>-</v>
      </c>
      <c r="Q13" s="68">
        <f>+SUMIFS('Cartera_Viva-Otros'!AM:AM,'Cartera_Viva-Otros'!AL:AL,"1",'Cartera_Viva-Otros'!P:P,"F",'Cartera_Viva-Otros'!AO:AO,'Resumen PE'!M13)/$E$4</f>
        <v>0</v>
      </c>
      <c r="S13" s="30" t="s">
        <v>34</v>
      </c>
      <c r="T13" s="31"/>
      <c r="U13" s="31"/>
      <c r="V13" s="31"/>
      <c r="W13" s="31"/>
    </row>
    <row r="14" spans="1:23" ht="20.149999999999999" customHeight="1" thickBot="1" x14ac:dyDescent="0.4">
      <c r="J14" s="27" t="s">
        <v>42</v>
      </c>
      <c r="K14" s="45">
        <f>+SUMIFS('Cartera_Viva-Otros'!AM:AM,'Cartera_Viva-Otros'!AO:AO,'Resumen PE'!J14,'Cartera_Viva-Otros'!P:P,"F")/$E$4</f>
        <v>0</v>
      </c>
      <c r="M14" s="73" t="s">
        <v>42</v>
      </c>
      <c r="N14" s="72">
        <f>+SUMIFS('Cartera_Viva-Otros'!AN:AN,'Cartera_Viva-Otros'!AL:AL,"1",'Cartera_Viva-Otros'!P:P,"F",'Cartera_Viva-Otros'!AO:AO,'Resumen PE'!M14)/$E$4</f>
        <v>0</v>
      </c>
      <c r="O14" s="71" t="str">
        <f>IFERROR(AVERAGEIFS('Cartera_Viva-Otros'!AJ:AJ,'Cartera_Viva-Otros'!AL:AL,"1",'Cartera_Viva-Otros'!P:P,"F",'Cartera_Viva-Otros'!AO:AO,'Resumen PE'!M14),"-")</f>
        <v>-</v>
      </c>
      <c r="P14" s="71" t="str">
        <f>IFERROR(AVERAGEIFS('Cartera_Viva-Otros'!AK:AK,'Cartera_Viva-Otros'!AL:AL,"1",'Cartera_Viva-Otros'!P:P,"F",'Cartera_Viva-Otros'!AO:AO,'Resumen PE'!M14),"-")</f>
        <v>-</v>
      </c>
      <c r="Q14" s="68">
        <f>+SUMIFS('Cartera_Viva-Otros'!AM:AM,'Cartera_Viva-Otros'!AL:AL,"1",'Cartera_Viva-Otros'!P:P,"F",'Cartera_Viva-Otros'!AO:AO,'Resumen PE'!M14)/$E$4</f>
        <v>0</v>
      </c>
      <c r="S14" s="32" t="s">
        <v>37</v>
      </c>
      <c r="T14" s="38">
        <f>+SUMIFS(Saldos_No_Util!G:G,Saldos_No_Util!K:K,"2",Saldos_No_Util!Q:Q,'Resumen PE'!S14)/$E$4</f>
        <v>0</v>
      </c>
      <c r="U14" s="39" t="str">
        <f>+IFERROR(AVERAGEIFS(Saldos_No_Util!N:N,Saldos_No_Util!K:K,"2",Saldos_No_Util!Q:Q,'Resumen PE'!S14),"-")</f>
        <v>-</v>
      </c>
      <c r="V14" s="38" t="str">
        <f>+IFERROR(T14*U14,"-")</f>
        <v>-</v>
      </c>
      <c r="W14" s="89">
        <f>+IFERROR(SUMIFS(Saldos_No_Util!O:O,Saldos_No_Util!K:K,"2",Saldos_No_Util!Q:Q,'Resumen PE'!S14)/$E$4,"-")</f>
        <v>0</v>
      </c>
    </row>
    <row r="15" spans="1:23" ht="26.5" customHeight="1" thickBot="1" x14ac:dyDescent="0.4">
      <c r="J15" s="27" t="s">
        <v>43</v>
      </c>
      <c r="K15" s="45">
        <f>+SUMIFS('Cartera_Viva-Otros'!AM:AM,'Cartera_Viva-Otros'!AO:AO,'Resumen PE'!J15,'Cartera_Viva-Otros'!P:P,"F")/$E$4</f>
        <v>0</v>
      </c>
      <c r="M15" s="73" t="s">
        <v>43</v>
      </c>
      <c r="N15" s="72">
        <f>+SUMIFS('Cartera_Viva-Otros'!AN:AN,'Cartera_Viva-Otros'!AL:AL,"1",'Cartera_Viva-Otros'!P:P,"F",'Cartera_Viva-Otros'!AO:AO,'Resumen PE'!M15)/$E$4</f>
        <v>0</v>
      </c>
      <c r="O15" s="71" t="str">
        <f>IFERROR(AVERAGEIFS('Cartera_Viva-Otros'!AJ:AJ,'Cartera_Viva-Otros'!AL:AL,"1",'Cartera_Viva-Otros'!P:P,"F",'Cartera_Viva-Otros'!AO:AO,'Resumen PE'!M15),"-")</f>
        <v>-</v>
      </c>
      <c r="P15" s="71" t="str">
        <f>IFERROR(AVERAGEIFS('Cartera_Viva-Otros'!AK:AK,'Cartera_Viva-Otros'!AL:AL,"1",'Cartera_Viva-Otros'!P:P,"F",'Cartera_Viva-Otros'!AO:AO,'Resumen PE'!M15),"-")</f>
        <v>-</v>
      </c>
      <c r="Q15" s="68">
        <f>+SUMIFS('Cartera_Viva-Otros'!AM:AM,'Cartera_Viva-Otros'!AL:AL,"1",'Cartera_Viva-Otros'!P:P,"F",'Cartera_Viva-Otros'!AO:AO,'Resumen PE'!M15)/$E$4</f>
        <v>0</v>
      </c>
      <c r="S15" s="32" t="s">
        <v>40</v>
      </c>
      <c r="T15" s="38">
        <f>+SUMIFS(Saldos_No_Util!G:G,Saldos_No_Util!K:K,"2",Saldos_No_Util!Q:Q,'Resumen PE'!S15)/$E$4</f>
        <v>0</v>
      </c>
      <c r="U15" s="39" t="str">
        <f>+IFERROR(AVERAGEIFS(Saldos_No_Util!N:N,Saldos_No_Util!K:K,"2",Saldos_No_Util!Q:Q,'Resumen PE'!S15),"-")</f>
        <v>-</v>
      </c>
      <c r="V15" s="38" t="str">
        <f>+IFERROR(T15*U15,"-")</f>
        <v>-</v>
      </c>
      <c r="W15" s="89">
        <f>+IFERROR(SUMIFS(Saldos_No_Util!O:O,Saldos_No_Util!K:K,"2",Saldos_No_Util!Q:Q,'Resumen PE'!S15)/$E$4,"-")</f>
        <v>0</v>
      </c>
    </row>
    <row r="16" spans="1:23" ht="22" customHeight="1" thickBot="1" x14ac:dyDescent="0.4">
      <c r="J16" s="27" t="s">
        <v>44</v>
      </c>
      <c r="K16" s="45">
        <f>+SUMIFS('Cartera_Viva-Otros'!AM:AM,'Cartera_Viva-Otros'!AO:AO,'Resumen PE'!J16,'Cartera_Viva-Otros'!P:P,"F")/$E$4</f>
        <v>0</v>
      </c>
      <c r="M16" s="73" t="s">
        <v>44</v>
      </c>
      <c r="N16" s="72">
        <f>+SUMIFS('Cartera_Viva-Otros'!AN:AN,'Cartera_Viva-Otros'!AL:AL,"1",'Cartera_Viva-Otros'!P:P,"F",'Cartera_Viva-Otros'!AO:AO,'Resumen PE'!M16)/$E$4</f>
        <v>0</v>
      </c>
      <c r="O16" s="71" t="str">
        <f>IFERROR(AVERAGEIFS('Cartera_Viva-Otros'!AJ:AJ,'Cartera_Viva-Otros'!AL:AL,"1",'Cartera_Viva-Otros'!P:P,"F",'Cartera_Viva-Otros'!AO:AO,'Resumen PE'!M16),"-")</f>
        <v>-</v>
      </c>
      <c r="P16" s="71" t="str">
        <f>IFERROR(AVERAGEIFS('Cartera_Viva-Otros'!AK:AK,'Cartera_Viva-Otros'!AL:AL,"1",'Cartera_Viva-Otros'!P:P,"F",'Cartera_Viva-Otros'!AO:AO,'Resumen PE'!M16),"-")</f>
        <v>-</v>
      </c>
      <c r="Q16" s="68">
        <f>+SUMIFS('Cartera_Viva-Otros'!AM:AM,'Cartera_Viva-Otros'!AL:AL,"1",'Cartera_Viva-Otros'!P:P,"F",'Cartera_Viva-Otros'!AO:AO,'Resumen PE'!M16)/$E$4</f>
        <v>0</v>
      </c>
      <c r="S16" s="30" t="s">
        <v>38</v>
      </c>
      <c r="T16" s="31"/>
      <c r="U16" s="31"/>
      <c r="V16" s="31"/>
      <c r="W16" s="31"/>
    </row>
    <row r="17" spans="10:23" ht="22" customHeight="1" thickBot="1" x14ac:dyDescent="0.4">
      <c r="J17" s="27" t="s">
        <v>37</v>
      </c>
      <c r="K17" s="45">
        <f>+SUMIFS(Saldos_No_Util!G:G,Saldos_No_Util!P:P,"F",Saldos_No_Util!Q:Q,J17)/$E$4</f>
        <v>152.99961758148396</v>
      </c>
      <c r="M17" s="73" t="s">
        <v>37</v>
      </c>
      <c r="N17" s="72">
        <f>+SUMIFS(Saldos_No_Util!O:O,Saldos_No_Util!K:K,"1",Saldos_No_Util!P:P,"F",Saldos_No_Util!Q:Q,'Resumen PE'!M17)/$E$4</f>
        <v>0.80985860663075349</v>
      </c>
      <c r="O17" s="71">
        <f>IFERROR(AVERAGEIFS(Saldos_No_Util!L:L,Saldos_No_Util!K:K,"1",Saldos_No_Util!P:P,"F",Saldos_No_Util!Q:Q,'Resumen PE'!M17),0)</f>
        <v>1.5000000000000012E-2</v>
      </c>
      <c r="P17" s="71">
        <f>IFERROR(AVERAGEIFS(Saldos_No_Util!M:M,Saldos_No_Util!K:K,"1",Saldos_No_Util!P:P,"F",Saldos_No_Util!Q:Q,'Resumen PE'!M17),0)</f>
        <v>0.66499985814979379</v>
      </c>
      <c r="Q17" s="68">
        <f>+SUMIFS(Saldos_No_Util!G:G,Saldos_No_Util!K:K,"1",Saldos_No_Util!P:P,"F",Saldos_No_Util!Q:Q,'Resumen PE'!M17)/$E$4</f>
        <v>152.28764288148398</v>
      </c>
      <c r="S17" s="32" t="s">
        <v>37</v>
      </c>
      <c r="T17" s="38">
        <f>+SUMIFS(Saldos_No_Util!G:G,Saldos_No_Util!K:K,"3",Saldos_No_Util!Q:Q,'Resumen PE'!S17)/$E$4</f>
        <v>0.71197469999999996</v>
      </c>
      <c r="U17" s="39">
        <f>+IFERROR(AVERAGEIFS(Saldos_No_Util!N:N,Saldos_No_Util!K:K,"3",Saldos_No_Util!Q:Q,'Resumen PE'!S17),"-")</f>
        <v>0.4</v>
      </c>
      <c r="V17" s="38">
        <f>+IFERROR(T17*U17,"-")</f>
        <v>0.28478988</v>
      </c>
      <c r="W17" s="38">
        <f>+IFERROR(SUMIFS(Saldos_No_Util!O:O,Saldos_No_Util!K:K,"3",Saldos_No_Util!Q:Q,'Resumen PE'!S17)/$E$4,"-")</f>
        <v>0.35015728059469314</v>
      </c>
    </row>
    <row r="18" spans="10:23" ht="24" customHeight="1" thickBot="1" x14ac:dyDescent="0.4">
      <c r="J18" s="27" t="s">
        <v>40</v>
      </c>
      <c r="K18" s="45">
        <f>+SUMIFS(Saldos_No_Util!G:G,Saldos_No_Util!P:P,"F",Saldos_No_Util!Q:Q,J18)/$E$4</f>
        <v>0</v>
      </c>
      <c r="M18" s="73" t="s">
        <v>40</v>
      </c>
      <c r="N18" s="72">
        <f>+SUMIFS(Saldos_No_Util!O:O,Saldos_No_Util!K:K,"1",Saldos_No_Util!P:P,"F",Saldos_No_Util!Q:Q,'Resumen PE'!M18)/$E$4</f>
        <v>0</v>
      </c>
      <c r="O18" s="71" t="str">
        <f>IFERROR(AVERAGEIFS(Saldos_No_Util!L:L,Saldos_No_Util!K:K,"1",Saldos_No_Util!P:P,"F",Saldos_No_Util!Q:Q,'Resumen PE'!M18),"-")</f>
        <v>-</v>
      </c>
      <c r="P18" s="71" t="str">
        <f>IFERROR(AVERAGEIFS(Saldos_No_Util!M:M,Saldos_No_Util!K:K,"1",Saldos_No_Util!P:P,"F",Saldos_No_Util!Q:Q,'Resumen PE'!M18),"-")</f>
        <v>-</v>
      </c>
      <c r="Q18" s="68">
        <f>+SUMIFS(Saldos_No_Util!G:G,Saldos_No_Util!K:K,"1",Saldos_No_Util!P:P,"F",Saldos_No_Util!Q:Q,'Resumen PE'!M18)/$E$4</f>
        <v>0</v>
      </c>
      <c r="R18" s="76"/>
      <c r="S18" s="32" t="s">
        <v>40</v>
      </c>
      <c r="T18" s="38">
        <f>+SUMIFS(Saldos_No_Util!G:G,Saldos_No_Util!K:K,"3",Saldos_No_Util!Q:Q,'Resumen PE'!S18)/$E$4</f>
        <v>0</v>
      </c>
      <c r="U18" s="39" t="str">
        <f>+IFERROR(AVERAGEIFS(Saldos_No_Util!N:N,Saldos_No_Util!K:K,"3",Saldos_No_Util!Q:Q,'Resumen PE'!S18),"-")</f>
        <v>-</v>
      </c>
      <c r="V18" s="38" t="str">
        <f>+IFERROR(T18*U18,"-")</f>
        <v>-</v>
      </c>
      <c r="W18" s="38">
        <f>+IFERROR(SUMIFS(Saldos_No_Util!O:O,Saldos_No_Util!K:K,"3",Saldos_No_Util!Q:Q,'Resumen PE'!S18)/$E$4,"-")</f>
        <v>0</v>
      </c>
    </row>
    <row r="19" spans="10:23" ht="20.149999999999999" customHeight="1" thickBot="1" x14ac:dyDescent="0.4">
      <c r="J19" s="27" t="s">
        <v>45</v>
      </c>
      <c r="K19" s="45">
        <f>+SUMIFS('Cartera_Viva-Otros'!AM:AM,'Cartera_Viva-Otros'!AO:AO,"IVA Debito Fiscal no Cobrados",'Cartera_Viva-Otros'!P:P,"F")/$E$4</f>
        <v>0</v>
      </c>
      <c r="M19" s="73" t="s">
        <v>45</v>
      </c>
      <c r="N19" s="72">
        <f>+SUMIFS('Cartera_Viva-Otros'!AN:AN,'Cartera_Viva-Otros'!AL:AL,"1",'Cartera_Viva-Otros'!P:P,"F",'Cartera_Viva-Otros'!AO:AO,"IVA Debito Fiscal no Cobrados")/$E$4</f>
        <v>0</v>
      </c>
      <c r="O19" s="71" t="str">
        <f>IFERROR(AVERAGEIFS('Cartera_Viva-Otros'!AJ:AJ,'Cartera_Viva-Otros'!AL:AL,"1",'Cartera_Viva-Otros'!P:P,"F",'Cartera_Viva-Otros'!AO:AO,"IVA Debito Fiscal no Cobrados"),"-")</f>
        <v>-</v>
      </c>
      <c r="P19" s="71" t="str">
        <f>IFERROR(AVERAGEIFS('Cartera_Viva-Otros'!AK:AK,'Cartera_Viva-Otros'!AL:AL,"1",'Cartera_Viva-Otros'!P:P,"F",'Cartera_Viva-Otros'!AO:AO,"IVA Debito Fiscal no Cobrados"),"-")</f>
        <v>-</v>
      </c>
      <c r="Q19" s="68">
        <f>+SUMIFS('Cartera_Viva-Otros'!AM:AM,'Cartera_Viva-Otros'!AL:AL,"1",'Cartera_Viva-Otros'!P:P,"F",'Cartera_Viva-Otros'!AO:AO,"IVA Debito Fiscal no Cobrados")/$E$4</f>
        <v>0</v>
      </c>
      <c r="R19" s="76"/>
    </row>
    <row r="20" spans="10:23" ht="18" customHeight="1" thickBot="1" x14ac:dyDescent="0.4">
      <c r="J20" s="26" t="s">
        <v>46</v>
      </c>
      <c r="K20" s="84">
        <f>+(SUMIFS('Cartera_Viva-Otros'!AN:AN,'Cartera_Viva-Otros'!P:P,"J")+SUMIFS(Saldos_No_Util!O:O,Saldos_No_Util!P:P,"J")+SUM('Cartera_Viva-Calls'!AJ7:AJ8))/$E$4</f>
        <v>0.18841405376049242</v>
      </c>
      <c r="M20" s="80" t="s">
        <v>47</v>
      </c>
      <c r="N20" s="87">
        <f>+(SUMIFS('Cartera_Viva-Otros'!AN:AN,'Cartera_Viva-Otros'!AL:AL,"1",'Cartera_Viva-Otros'!P:P,"J")+SUMIFS(Saldos_No_Util!O:O,Saldos_No_Util!P:P,"J",Saldos_No_Util!K:K,"1")+SUMIF('Cartera_Viva-Calls'!AF:AF,"1",'Cartera_Viva-Calls'!AJ:AJ))/$E$4</f>
        <v>0.18841405376049242</v>
      </c>
      <c r="O20" s="82" t="e">
        <f>AVERAGEIFS('Cartera_Viva-Otros'!AJ:AJ,'Cartera_Viva-Otros'!AL:AL,"1",'Cartera_Viva-Otros'!P:P,"J")</f>
        <v>#DIV/0!</v>
      </c>
      <c r="P20" s="82" t="e">
        <f>AVERAGEIFS('Cartera_Viva-Otros'!AK:AK,'Cartera_Viva-Otros'!AL:AL,"1",'Cartera_Viva-Otros'!P:P,"J")</f>
        <v>#DIV/0!</v>
      </c>
      <c r="Q20" s="83">
        <f>+(SUMIFS('Cartera_Viva-Otros'!AM:AM,'Cartera_Viva-Otros'!AL:AL,"1",'Cartera_Viva-Otros'!P:P,"J")+SUMIFS(Saldos_No_Util!G:G,Saldos_No_Util!P:P,"J",Saldos_No_Util!K:K,"1")+SUMIF('Cartera_Viva-Calls'!AF:AF,"1",'Cartera_Viva-Calls'!AC:AC))/$E$4</f>
        <v>927.99417677954011</v>
      </c>
      <c r="R20" s="78"/>
    </row>
    <row r="21" spans="10:23" ht="26.5" thickBot="1" x14ac:dyDescent="0.4">
      <c r="J21" s="26" t="s">
        <v>48</v>
      </c>
      <c r="K21" s="42">
        <f>+(SUMIFS('Cartera_Viva-Otros'!AM:AM,'Cartera_Viva-Otros'!P:P,"J")+SUMIFS(Saldos_No_Util!G:G,Saldos_No_Util!P:P,"J")+SUM('Cartera_Viva-Calls'!AC7:AC8))/$E$4</f>
        <v>927.99417677954011</v>
      </c>
      <c r="M21" s="73" t="s">
        <v>39</v>
      </c>
      <c r="N21" s="75">
        <f>+SUMIFS('Cartera_Viva-Otros'!AN:AN,'Cartera_Viva-Otros'!AL:AL,"1",'Cartera_Viva-Otros'!P:P,"J",'Cartera_Viva-Otros'!AO:AO,'Resumen PE'!M21)/$E$4</f>
        <v>0</v>
      </c>
      <c r="O21" s="71" t="str">
        <f>IFERROR(AVERAGEIFS('Cartera_Viva-Otros'!AJ:AJ,'Cartera_Viva-Otros'!AL:AL,"1",'Cartera_Viva-Otros'!P:P,"J",'Cartera_Viva-Otros'!AO:AO,'Resumen PE'!M21),"-")</f>
        <v>-</v>
      </c>
      <c r="P21" s="71" t="str">
        <f>IFERROR(AVERAGEIFS('Cartera_Viva-Otros'!AK:AK,'Cartera_Viva-Otros'!AL:AL,"1",'Cartera_Viva-Otros'!P:P,"J",'Cartera_Viva-Otros'!AO:AO,'Resumen PE'!M21),"-")</f>
        <v>-</v>
      </c>
      <c r="Q21" s="68">
        <f>+SUMIFS('Cartera_Viva-Otros'!AM:AM,'Cartera_Viva-Otros'!AL:AL,"1",'Cartera_Viva-Otros'!P:P,"J",'Cartera_Viva-Otros'!AO:AO,'Resumen PE'!M12)/$E$4</f>
        <v>0</v>
      </c>
      <c r="S21" s="79"/>
    </row>
    <row r="22" spans="10:23" ht="26.5" customHeight="1" thickBot="1" x14ac:dyDescent="0.4">
      <c r="J22" s="27" t="s">
        <v>39</v>
      </c>
      <c r="K22" s="44">
        <f>+SUMIFS('Cartera_Viva-Otros'!AM:AM,'Cartera_Viva-Otros'!AO:AO,'Resumen PE'!J22,'Cartera_Viva-Otros'!P:P,"J")/$E$4</f>
        <v>0</v>
      </c>
      <c r="M22" s="73" t="s">
        <v>41</v>
      </c>
      <c r="N22" s="75">
        <f>+SUMIFS('Cartera_Viva-Otros'!AN:AN,'Cartera_Viva-Otros'!AL:AL,"1",'Cartera_Viva-Otros'!P:P,"J",'Cartera_Viva-Otros'!AO:AO,'Resumen PE'!M22)/$E$4</f>
        <v>0</v>
      </c>
      <c r="O22" s="71" t="str">
        <f>IFERROR(AVERAGEIFS('Cartera_Viva-Otros'!AJ:AJ,'Cartera_Viva-Otros'!AL:AL,"1",'Cartera_Viva-Otros'!P:P,"J",'Cartera_Viva-Otros'!AO:AO,'Resumen PE'!M22),"-")</f>
        <v>-</v>
      </c>
      <c r="P22" s="71" t="str">
        <f>IFERROR(AVERAGEIFS('Cartera_Viva-Otros'!AK:AK,'Cartera_Viva-Otros'!AL:AL,"1",'Cartera_Viva-Otros'!P:P,"J",'Cartera_Viva-Otros'!AO:AO,'Resumen PE'!M22),"-")</f>
        <v>-</v>
      </c>
      <c r="Q22" s="68">
        <f>+SUMIFS('Cartera_Viva-Otros'!AM:AM,'Cartera_Viva-Otros'!AL:AL,"1",'Cartera_Viva-Otros'!P:P,"J",'Cartera_Viva-Otros'!AO:AO,'Resumen PE'!M13)/$E$4</f>
        <v>0</v>
      </c>
      <c r="S22" s="78"/>
    </row>
    <row r="23" spans="10:23" ht="26.5" thickBot="1" x14ac:dyDescent="0.4">
      <c r="J23" s="27" t="s">
        <v>41</v>
      </c>
      <c r="K23" s="44">
        <f>+SUMIFS('Cartera_Viva-Otros'!AM:AM,'Cartera_Viva-Otros'!AO:AO,'Resumen PE'!J23,'Cartera_Viva-Otros'!P:P,"J")/$E$4</f>
        <v>0</v>
      </c>
      <c r="M23" s="73" t="s">
        <v>42</v>
      </c>
      <c r="N23" s="75">
        <f>+SUMIFS('Cartera_Viva-Otros'!AN:AN,'Cartera_Viva-Otros'!AL:AL,"1",'Cartera_Viva-Otros'!P:P,"J",'Cartera_Viva-Otros'!AO:AO,'Resumen PE'!M23)/$E$4</f>
        <v>0</v>
      </c>
      <c r="O23" s="71" t="str">
        <f>IFERROR(AVERAGEIFS('Cartera_Viva-Otros'!AJ:AJ,'Cartera_Viva-Otros'!AL:AL,"1",'Cartera_Viva-Otros'!P:P,"J",'Cartera_Viva-Otros'!AO:AO,'Resumen PE'!M23),"-")</f>
        <v>-</v>
      </c>
      <c r="P23" s="71" t="str">
        <f>IFERROR(AVERAGEIFS('Cartera_Viva-Otros'!AK:AK,'Cartera_Viva-Otros'!AL:AL,"1",'Cartera_Viva-Otros'!P:P,"J",'Cartera_Viva-Otros'!AO:AO,'Resumen PE'!M23),"-")</f>
        <v>-</v>
      </c>
      <c r="Q23" s="68">
        <f>+SUMIFS('Cartera_Viva-Otros'!AM:AM,'Cartera_Viva-Otros'!AL:AL,"1",'Cartera_Viva-Otros'!P:P,"J",'Cartera_Viva-Otros'!AO:AO,'Resumen PE'!M14)/$E$4</f>
        <v>0</v>
      </c>
    </row>
    <row r="24" spans="10:23" ht="27.5" thickBot="1" x14ac:dyDescent="0.4">
      <c r="J24" s="27" t="s">
        <v>42</v>
      </c>
      <c r="K24" s="44">
        <f>+SUMIFS('Cartera_Viva-Otros'!AM:AM,'Cartera_Viva-Otros'!AO:AO,'Resumen PE'!J24,'Cartera_Viva-Otros'!P:P,"J")/$E$4</f>
        <v>0</v>
      </c>
      <c r="M24" s="73" t="s">
        <v>43</v>
      </c>
      <c r="N24" s="75">
        <f>+SUMIFS('Cartera_Viva-Otros'!AN:AN,'Cartera_Viva-Otros'!AL:AL,"1",'Cartera_Viva-Otros'!P:P,"J",'Cartera_Viva-Otros'!AO:AO,'Resumen PE'!M24)/$E$4</f>
        <v>0</v>
      </c>
      <c r="O24" s="71" t="str">
        <f>IFERROR(AVERAGEIFS('Cartera_Viva-Otros'!AJ:AJ,'Cartera_Viva-Otros'!AL:AL,"1",'Cartera_Viva-Otros'!P:P,"J",'Cartera_Viva-Otros'!AO:AO,'Resumen PE'!M24),"-")</f>
        <v>-</v>
      </c>
      <c r="P24" s="71" t="str">
        <f>IFERROR(AVERAGEIFS('Cartera_Viva-Otros'!AK:AK,'Cartera_Viva-Otros'!AL:AL,"1",'Cartera_Viva-Otros'!P:P,"J",'Cartera_Viva-Otros'!AO:AO,'Resumen PE'!M24),"-")</f>
        <v>-</v>
      </c>
      <c r="Q24" s="68">
        <f>+SUMIFS('Cartera_Viva-Otros'!AM:AM,'Cartera_Viva-Otros'!AL:AL,"1",'Cartera_Viva-Otros'!P:P,"J",'Cartera_Viva-Otros'!AO:AO,'Resumen PE'!M15)/$E$4</f>
        <v>0</v>
      </c>
    </row>
    <row r="25" spans="10:23" ht="26.5" thickBot="1" x14ac:dyDescent="0.4">
      <c r="J25" s="27" t="s">
        <v>43</v>
      </c>
      <c r="K25" s="44">
        <f>+SUMIFS('Cartera_Viva-Otros'!AM:AM,'Cartera_Viva-Otros'!AO:AO,'Resumen PE'!J25,'Cartera_Viva-Otros'!P:P,"J")/$E$4</f>
        <v>0</v>
      </c>
      <c r="M25" s="73" t="s">
        <v>44</v>
      </c>
      <c r="N25" s="75">
        <f>+SUMIFS('Cartera_Viva-Otros'!AN:AN,'Cartera_Viva-Otros'!AL:AL,"1",'Cartera_Viva-Otros'!P:P,"J",'Cartera_Viva-Otros'!AO:AO,'Resumen PE'!M25)/$E$4</f>
        <v>0</v>
      </c>
      <c r="O25" s="71" t="str">
        <f>IFERROR(AVERAGEIFS('Cartera_Viva-Otros'!AJ:AJ,'Cartera_Viva-Otros'!AL:AL,"1",'Cartera_Viva-Otros'!P:P,"J",'Cartera_Viva-Otros'!AO:AO,'Resumen PE'!M25),"-")</f>
        <v>-</v>
      </c>
      <c r="P25" s="71" t="str">
        <f>IFERROR(AVERAGEIFS('Cartera_Viva-Otros'!AK:AK,'Cartera_Viva-Otros'!AL:AL,"1",'Cartera_Viva-Otros'!P:P,"J",'Cartera_Viva-Otros'!AO:AO,'Resumen PE'!M25),"-")</f>
        <v>-</v>
      </c>
      <c r="Q25" s="68">
        <f>+SUMIFS('Cartera_Viva-Otros'!AM:AM,'Cartera_Viva-Otros'!AL:AL,"1",'Cartera_Viva-Otros'!P:P,"J",'Cartera_Viva-Otros'!AO:AO,'Resumen PE'!M16)/$E$4</f>
        <v>0</v>
      </c>
    </row>
    <row r="26" spans="10:23" ht="27.5" thickBot="1" x14ac:dyDescent="0.4">
      <c r="J26" s="27" t="s">
        <v>44</v>
      </c>
      <c r="K26" s="44">
        <f>+SUMIFS('Cartera_Viva-Otros'!AM:AM,'Cartera_Viva-Otros'!AO:AO,'Resumen PE'!J26,'Cartera_Viva-Otros'!P:P,"J")/$E$4</f>
        <v>0</v>
      </c>
      <c r="M26" s="73" t="s">
        <v>37</v>
      </c>
      <c r="N26" s="75">
        <f>+SUMIFS(Saldos_No_Util!O:O,Saldos_No_Util!K:K,"1",Saldos_No_Util!P:P,"J",Saldos_No_Util!Q:Q,'Resumen PE'!M26)/$E$4</f>
        <v>8.5311825423703441E-2</v>
      </c>
      <c r="O26" s="71">
        <f>IFERROR(AVERAGEIFS(Saldos_No_Util!L:L,Saldos_No_Util!K:K,"1",Saldos_No_Util!P:P,"J",Saldos_No_Util!Q:Q,'Resumen PE'!M26),0)</f>
        <v>1.4999999999999999E-2</v>
      </c>
      <c r="P26" s="71">
        <f>IFERROR(AVERAGEIFS(Saldos_No_Util!M:M,Saldos_No_Util!K:K,"1",Saldos_No_Util!P:P,"J",Saldos_No_Util!Q:Q,'Resumen PE'!M26),0)</f>
        <v>0.66499985814979368</v>
      </c>
      <c r="Q26" s="68">
        <f>+SUMIFS(Saldos_No_Util!G:G,Saldos_No_Util!K:K,"1",Saldos_No_Util!P:P,"J",Saldos_No_Util!Q:Q,'Resumen PE'!M26)/$E$4</f>
        <v>16.04222847954</v>
      </c>
    </row>
    <row r="27" spans="10:23" ht="26.5" thickBot="1" x14ac:dyDescent="0.4">
      <c r="J27" s="27" t="s">
        <v>37</v>
      </c>
      <c r="K27" s="44">
        <f>+SUMIFS(Saldos_No_Util!G:G,Saldos_No_Util!P:P,"J",Saldos_No_Util!Q:Q,J27)/$E$4</f>
        <v>16.04222847954</v>
      </c>
      <c r="M27" s="73" t="s">
        <v>40</v>
      </c>
      <c r="N27" s="75">
        <f>+SUMIFS(Saldos_No_Util!O:O,Saldos_No_Util!K:K,"1",Saldos_No_Util!P:P,"J",Saldos_No_Util!Q:Q,'Resumen PE'!M27)/$E$4</f>
        <v>6.9973462650573789E-2</v>
      </c>
      <c r="O27" s="71">
        <f>IFERROR(AVERAGEIFS(Saldos_No_Util!L:L,Saldos_No_Util!K:K,"1",Saldos_No_Util!P:P,"J",Saldos_No_Util!Q:Q,'Resumen PE'!M27),"-")</f>
        <v>1.4999999999999999E-2</v>
      </c>
      <c r="P27" s="71">
        <f>IFERROR(AVERAGEIFS(Saldos_No_Util!M:M,Saldos_No_Util!K:K,"1",Saldos_No_Util!P:P,"J",Saldos_No_Util!Q:Q,'Resumen PE'!M27),"-")</f>
        <v>0.66499985814979368</v>
      </c>
      <c r="Q27" s="68">
        <f>+SUMIFS(Saldos_No_Util!G:G,Saldos_No_Util!K:K,"1",Saldos_No_Util!P:P,"J",Saldos_No_Util!Q:Q,'Resumen PE'!M27)/$E$4</f>
        <v>11.52660595</v>
      </c>
    </row>
    <row r="28" spans="10:23" ht="27.5" thickBot="1" x14ac:dyDescent="0.4">
      <c r="J28" s="27" t="s">
        <v>40</v>
      </c>
      <c r="K28" s="44">
        <f>+SUMIFS(Saldos_No_Util!G:G,Saldos_No_Util!P:P,"J",Saldos_No_Util!Q:Q,J28)/$E$4</f>
        <v>11.52660595</v>
      </c>
      <c r="M28" s="74" t="s">
        <v>49</v>
      </c>
      <c r="N28" s="75">
        <f>+SUM('Cartera_Viva-Calls'!AJ:AJ)/1000000</f>
        <v>3.31287656862152E-2</v>
      </c>
      <c r="O28" s="71">
        <f>'Cartera_Viva-Calls'!AH7</f>
        <v>5.532685614750843E-5</v>
      </c>
      <c r="P28" s="71">
        <f>+'Cartera_Viva-Calls'!AI7</f>
        <v>0.66499985814979368</v>
      </c>
      <c r="Q28" s="68">
        <f>+SUM('Cartera_Viva-Calls'!AC:AC)/1000000</f>
        <v>900.42534235000005</v>
      </c>
    </row>
    <row r="29" spans="10:23" ht="15" thickBot="1" x14ac:dyDescent="0.4">
      <c r="J29" s="29" t="s">
        <v>49</v>
      </c>
      <c r="K29" s="44">
        <f>+SUM('Cartera_Viva-Calls'!AC7:AC8)/'Resumen PE'!$E$4</f>
        <v>900.42534235000005</v>
      </c>
      <c r="M29" s="74" t="s">
        <v>45</v>
      </c>
      <c r="N29" s="75">
        <f>+SUMIFS('Cartera_Viva-Otros'!AN:AN,'Cartera_Viva-Otros'!AL:AL,"1",'Cartera_Viva-Otros'!P:P,"J",'Cartera_Viva-Otros'!AO:AO,"IVA Debito Fiscal no Cobrados")/$E$4</f>
        <v>0</v>
      </c>
      <c r="O29" s="71" t="str">
        <f>IFERROR(AVERAGEIFS('Cartera_Viva-Otros'!AJ:AJ,'Cartera_Viva-Otros'!AL:AL,"1",'Cartera_Viva-Otros'!P:P,"J",'Cartera_Viva-Otros'!AO:AO,"IVA Debito Fiscal no Cobrados"),"-")</f>
        <v>-</v>
      </c>
      <c r="P29" s="71" t="str">
        <f>IFERROR(AVERAGEIFS('Cartera_Viva-Otros'!AK:AK,'Cartera_Viva-Otros'!AL:AL,"1",'Cartera_Viva-Otros'!P:P,"J",'Cartera_Viva-Otros'!AO:AO,"IVA Debito Fiscal no Cobrados"),"-")</f>
        <v>-</v>
      </c>
      <c r="Q29" s="68">
        <f>+SUMIFS('Cartera_Viva-Otros'!AM:AM,'Cartera_Viva-Otros'!AL:AL,"1",'Cartera_Viva-Otros'!P:P,"J",'Cartera_Viva-Otros'!AO:AO,"IVA Debito Fiscal no Cobrados")/$E$4</f>
        <v>0</v>
      </c>
    </row>
    <row r="30" spans="10:23" ht="15" thickBot="1" x14ac:dyDescent="0.4">
      <c r="J30" s="29" t="s">
        <v>45</v>
      </c>
      <c r="K30" s="44">
        <f>+SUMIFS('Cartera_Viva-Otros'!AM:AM,'Cartera_Viva-Otros'!AO:AO,"IVA Debito Fiscal no Cobrados",'Cartera_Viva-Otros'!P:P,"J")/$E$4</f>
        <v>0</v>
      </c>
      <c r="M30" s="30" t="s">
        <v>34</v>
      </c>
      <c r="N30" s="31"/>
      <c r="O30" s="31"/>
      <c r="P30" s="31"/>
      <c r="Q30" s="31"/>
    </row>
    <row r="31" spans="10:23" ht="15" thickBot="1" x14ac:dyDescent="0.4">
      <c r="J31" s="26" t="s">
        <v>50</v>
      </c>
      <c r="K31" s="69">
        <f>+K10+K20</f>
        <v>1.348429940985939</v>
      </c>
      <c r="M31" s="80" t="s">
        <v>36</v>
      </c>
      <c r="N31" s="87">
        <f>+(SUMIFS('Cartera_Viva-Otros'!AN:AN,'Cartera_Viva-Otros'!AL:AL,"2",'Cartera_Viva-Otros'!P:P,"F")+SUMIFS(Saldos_No_Util!O:O,Saldos_No_Util!K:K,"2",Saldos_No_Util!P:P,"F"))/$E$4</f>
        <v>0</v>
      </c>
      <c r="O31" s="87">
        <f>IFERROR(AVERAGEIFS('Cartera_Viva-Otros'!AJ:AJ,'Cartera_Viva-Otros'!AL:AL,"2",'Cartera_Viva-Otros'!P:P,"F"),0)</f>
        <v>0</v>
      </c>
      <c r="P31" s="87">
        <f>IFERROR(AVERAGEIFS('Cartera_Viva-Otros'!AK:AK,'Cartera_Viva-Otros'!AL:AL,"2",'Cartera_Viva-Otros'!P:P,"F"),0)</f>
        <v>0</v>
      </c>
      <c r="Q31" s="83">
        <f>+(SUMIFS('Cartera_Viva-Otros'!AM:AM,'Cartera_Viva-Otros'!AL:AL,"2",'Cartera_Viva-Otros'!P:P,"F")+SUMIFS(Saldos_No_Util!G:G,Saldos_No_Util!K:K,"2",Saldos_No_Util!P:P,"F"))/$E$4</f>
        <v>0</v>
      </c>
    </row>
    <row r="32" spans="10:23" ht="15" thickBot="1" x14ac:dyDescent="0.4">
      <c r="J32" s="26" t="s">
        <v>51</v>
      </c>
      <c r="K32" s="69">
        <f>+K11+K21</f>
        <v>1080.9937943610241</v>
      </c>
      <c r="M32" s="73" t="s">
        <v>39</v>
      </c>
      <c r="N32" s="72">
        <f>+SUMIFS('Cartera_Viva-Otros'!AN:AN,'Cartera_Viva-Otros'!AL:AL,"2",'Cartera_Viva-Otros'!P:P,"F",'Cartera_Viva-Otros'!AO:AO,'Resumen PE'!M32)/$E$4</f>
        <v>0</v>
      </c>
      <c r="O32" s="71" t="str">
        <f>IFERROR(AVERAGEIFS('Cartera_Viva-Otros'!AJ:AJ,'Cartera_Viva-Otros'!AL:AL,"2",'Cartera_Viva-Otros'!P:P,"F",'Cartera_Viva-Otros'!AO:AO,'Resumen PE'!M32),"-")</f>
        <v>-</v>
      </c>
      <c r="P32" s="71" t="str">
        <f>IFERROR(AVERAGEIFS('Cartera_Viva-Otros'!AK:AK,'Cartera_Viva-Otros'!AL:AL,"2",'Cartera_Viva-Otros'!P:P,"F",'Cartera_Viva-Otros'!AO:AO,'Resumen PE'!M32),"-")</f>
        <v>-</v>
      </c>
      <c r="Q32" s="68">
        <f>+SUMIFS('Cartera_Viva-Otros'!AM:AM,'Cartera_Viva-Otros'!AL:AL,"2",'Cartera_Viva-Otros'!P:P,"F",'Cartera_Viva-Otros'!AO:AO,'Resumen PE'!M32)/$E$4</f>
        <v>0</v>
      </c>
    </row>
    <row r="33" spans="13:17" ht="15" thickBot="1" x14ac:dyDescent="0.4">
      <c r="M33" s="73" t="s">
        <v>41</v>
      </c>
      <c r="N33" s="72">
        <f>+SUMIFS('Cartera_Viva-Otros'!AN:AN,'Cartera_Viva-Otros'!AL:AL,"2",'Cartera_Viva-Otros'!P:P,"F",'Cartera_Viva-Otros'!AO:AO,'Resumen PE'!M33)/$E$4</f>
        <v>0</v>
      </c>
      <c r="O33" s="71" t="str">
        <f>IFERROR(AVERAGEIFS('Cartera_Viva-Otros'!AJ:AJ,'Cartera_Viva-Otros'!AL:AL,"2",'Cartera_Viva-Otros'!P:P,"F",'Cartera_Viva-Otros'!AO:AO,'Resumen PE'!M33),"-")</f>
        <v>-</v>
      </c>
      <c r="P33" s="71" t="str">
        <f>IFERROR(AVERAGEIFS('Cartera_Viva-Otros'!AK:AK,'Cartera_Viva-Otros'!AL:AL,"2",'Cartera_Viva-Otros'!P:P,"F",'Cartera_Viva-Otros'!AO:AO,'Resumen PE'!M33),"-")</f>
        <v>-</v>
      </c>
      <c r="Q33" s="68">
        <f>+SUMIFS('Cartera_Viva-Otros'!AM:AM,'Cartera_Viva-Otros'!AL:AL,"2",'Cartera_Viva-Otros'!P:P,"F",'Cartera_Viva-Otros'!AO:AO,'Resumen PE'!M33)/$E$4</f>
        <v>0</v>
      </c>
    </row>
    <row r="34" spans="13:17" ht="26.5" thickBot="1" x14ac:dyDescent="0.4">
      <c r="M34" s="73" t="s">
        <v>42</v>
      </c>
      <c r="N34" s="72">
        <f>+SUMIFS('Cartera_Viva-Otros'!AN:AN,'Cartera_Viva-Otros'!AL:AL,"2",'Cartera_Viva-Otros'!P:P,"F",'Cartera_Viva-Otros'!AO:AO,'Resumen PE'!M34)/$E$4</f>
        <v>0</v>
      </c>
      <c r="O34" s="71" t="str">
        <f>IFERROR(AVERAGEIFS('Cartera_Viva-Otros'!AJ:AJ,'Cartera_Viva-Otros'!AL:AL,"2",'Cartera_Viva-Otros'!P:P,"F",'Cartera_Viva-Otros'!AO:AO,'Resumen PE'!M34),"-")</f>
        <v>-</v>
      </c>
      <c r="P34" s="71" t="str">
        <f>IFERROR(AVERAGEIFS('Cartera_Viva-Otros'!AK:AK,'Cartera_Viva-Otros'!AL:AL,"2",'Cartera_Viva-Otros'!P:P,"F",'Cartera_Viva-Otros'!AO:AO,'Resumen PE'!M34),"-")</f>
        <v>-</v>
      </c>
      <c r="Q34" s="68">
        <f>+SUMIFS('Cartera_Viva-Otros'!AM:AM,'Cartera_Viva-Otros'!AL:AL,"2",'Cartera_Viva-Otros'!P:P,"F",'Cartera_Viva-Otros'!AO:AO,'Resumen PE'!M34)/$E$4</f>
        <v>0</v>
      </c>
    </row>
    <row r="35" spans="13:17" ht="15" thickBot="1" x14ac:dyDescent="0.4">
      <c r="M35" s="73" t="s">
        <v>43</v>
      </c>
      <c r="N35" s="72">
        <f>+SUMIFS('Cartera_Viva-Otros'!AN:AN,'Cartera_Viva-Otros'!AL:AL,"2",'Cartera_Viva-Otros'!P:P,"F",'Cartera_Viva-Otros'!AO:AO,'Resumen PE'!M35)/$E$4</f>
        <v>0</v>
      </c>
      <c r="O35" s="71" t="str">
        <f>IFERROR(AVERAGEIFS('Cartera_Viva-Otros'!AJ:AJ,'Cartera_Viva-Otros'!AL:AL,"2",'Cartera_Viva-Otros'!P:P,"F",'Cartera_Viva-Otros'!AO:AO,'Resumen PE'!M35),"-")</f>
        <v>-</v>
      </c>
      <c r="P35" s="71" t="str">
        <f>IFERROR(AVERAGEIFS('Cartera_Viva-Otros'!AK:AK,'Cartera_Viva-Otros'!AL:AL,"2",'Cartera_Viva-Otros'!P:P,"F",'Cartera_Viva-Otros'!AO:AO,'Resumen PE'!M35),"-")</f>
        <v>-</v>
      </c>
      <c r="Q35" s="68">
        <f>+SUMIFS('Cartera_Viva-Otros'!AM:AM,'Cartera_Viva-Otros'!AL:AL,"2",'Cartera_Viva-Otros'!P:P,"F",'Cartera_Viva-Otros'!AO:AO,'Resumen PE'!M35)/$E$4</f>
        <v>0</v>
      </c>
    </row>
    <row r="36" spans="13:17" ht="26.5" thickBot="1" x14ac:dyDescent="0.4">
      <c r="M36" s="73" t="s">
        <v>44</v>
      </c>
      <c r="N36" s="72">
        <f>+SUMIFS('Cartera_Viva-Otros'!AN:AN,'Cartera_Viva-Otros'!AL:AL,"2",'Cartera_Viva-Otros'!P:P,"F",'Cartera_Viva-Otros'!AO:AO,'Resumen PE'!M36)/$E$4</f>
        <v>0</v>
      </c>
      <c r="O36" s="71" t="str">
        <f>IFERROR(AVERAGEIFS('Cartera_Viva-Otros'!AJ:AJ,'Cartera_Viva-Otros'!AL:AL,"2",'Cartera_Viva-Otros'!P:P,"F",'Cartera_Viva-Otros'!AO:AO,'Resumen PE'!M36),"-")</f>
        <v>-</v>
      </c>
      <c r="P36" s="71" t="str">
        <f>IFERROR(AVERAGEIFS('Cartera_Viva-Otros'!AK:AK,'Cartera_Viva-Otros'!AL:AL,"2",'Cartera_Viva-Otros'!P:P,"F",'Cartera_Viva-Otros'!AO:AO,'Resumen PE'!M36),"-")</f>
        <v>-</v>
      </c>
      <c r="Q36" s="68">
        <f>+SUMIFS('Cartera_Viva-Otros'!AM:AM,'Cartera_Viva-Otros'!AL:AL,"2",'Cartera_Viva-Otros'!P:P,"F",'Cartera_Viva-Otros'!AO:AO,'Resumen PE'!M36)/$E$4</f>
        <v>0</v>
      </c>
    </row>
    <row r="37" spans="13:17" ht="15" thickBot="1" x14ac:dyDescent="0.4">
      <c r="M37" s="73" t="s">
        <v>37</v>
      </c>
      <c r="N37" s="72">
        <f>+SUMIFS(Saldos_No_Util!O:O,Saldos_No_Util!K:K,"2",Saldos_No_Util!P:P,"F",Saldos_No_Util!Q:Q,'Resumen PE'!M37)/$E$4</f>
        <v>0</v>
      </c>
      <c r="O37" s="71">
        <f>IFERROR(AVERAGEIFS(Saldos_No_Util!L:L,Saldos_No_Util!K:K,"2",Saldos_No_Util!P:P,"F",Saldos_No_Util!Q:Q,'Resumen PE'!M37),0)</f>
        <v>0</v>
      </c>
      <c r="P37" s="71">
        <f>IFERROR(AVERAGEIFS(Saldos_No_Util!M:M,Saldos_No_Util!K:K,"2",Saldos_No_Util!P:P,"F",Saldos_No_Util!Q:Q,'Resumen PE'!M37),0)</f>
        <v>0</v>
      </c>
      <c r="Q37" s="68">
        <f>+SUMIFS(Saldos_No_Util!G:G,Saldos_No_Util!K:K,"2",Saldos_No_Util!P:P,"F",Saldos_No_Util!Q:Q,'Resumen PE'!M37)/$E$4</f>
        <v>0</v>
      </c>
    </row>
    <row r="38" spans="13:17" ht="26.5" thickBot="1" x14ac:dyDescent="0.4">
      <c r="M38" s="73" t="s">
        <v>40</v>
      </c>
      <c r="N38" s="72">
        <f>+SUMIFS(Saldos_No_Util!O:O,Saldos_No_Util!K:K,"2",Saldos_No_Util!P:P,"F",Saldos_No_Util!Q:Q,'Resumen PE'!M38)/$E$4</f>
        <v>0</v>
      </c>
      <c r="O38" s="71" t="str">
        <f>IFERROR(AVERAGEIFS(Saldos_No_Util!L:L,Saldos_No_Util!K:K,"2",Saldos_No_Util!P:P,"F",Saldos_No_Util!Q:Q,'Resumen PE'!M38),"-")</f>
        <v>-</v>
      </c>
      <c r="P38" s="71" t="str">
        <f>IFERROR(AVERAGEIFS(Saldos_No_Util!M:M,Saldos_No_Util!K:K,"2",Saldos_No_Util!P:P,"F",Saldos_No_Util!Q:Q,'Resumen PE'!M38),"-")</f>
        <v>-</v>
      </c>
      <c r="Q38" s="68">
        <f>+SUMIFS(Saldos_No_Util!G:G,Saldos_No_Util!K:K,"2",Saldos_No_Util!P:P,"F",Saldos_No_Util!Q:Q,'Resumen PE'!M38)/$E$4</f>
        <v>0</v>
      </c>
    </row>
    <row r="39" spans="13:17" ht="15" thickBot="1" x14ac:dyDescent="0.4">
      <c r="M39" s="73" t="s">
        <v>45</v>
      </c>
      <c r="N39" s="72">
        <f>+SUMIFS('Cartera_Viva-Otros'!AN:AN,'Cartera_Viva-Otros'!AL:AL,"2",'Cartera_Viva-Otros'!P:P,"F",'Cartera_Viva-Otros'!AO:AO,'Resumen PE'!M39)/$E$4</f>
        <v>0</v>
      </c>
      <c r="O39" s="71" t="str">
        <f>IFERROR(AVERAGEIFS('Cartera_Viva-Otros'!AJ:AJ,'Cartera_Viva-Otros'!AL:AL,"2",'Cartera_Viva-Otros'!P:P,"F",'Cartera_Viva-Otros'!AO:AO,"IVA Debito Fiscal no Cobrados"),"-")</f>
        <v>-</v>
      </c>
      <c r="P39" s="71" t="str">
        <f>IFERROR(AVERAGEIFS('Cartera_Viva-Otros'!AK:AK,'Cartera_Viva-Otros'!AL:AL,"2",'Cartera_Viva-Otros'!P:P,"F",'Cartera_Viva-Otros'!AO:AO,"IVA Debito Fiscal no Cobrados"),"-")</f>
        <v>-</v>
      </c>
      <c r="Q39" s="68">
        <f>+SUMIFS('Cartera_Viva-Otros'!AM:AM,'Cartera_Viva-Otros'!AL:AL,"2",'Cartera_Viva-Otros'!P:P,"F",'Cartera_Viva-Otros'!AO:AO,"IVA Debito Fiscal no Cobrados")/$E$4</f>
        <v>0</v>
      </c>
    </row>
    <row r="40" spans="13:17" ht="15" thickBot="1" x14ac:dyDescent="0.4">
      <c r="M40" s="80" t="s">
        <v>47</v>
      </c>
      <c r="N40" s="87">
        <f>+(SUMIFS('Cartera_Viva-Otros'!AN:AN,'Cartera_Viva-Otros'!AL:AL,"2",'Cartera_Viva-Otros'!P:P,"J")+SUMIFS(Saldos_No_Util!O:O,Saldos_No_Util!P:P,"J",Saldos_No_Util!K:K,"2")+SUMIF('Cartera_Viva-Calls'!AF7,"2",'Cartera_Viva-Calls'!AJ7))/$E$4</f>
        <v>0</v>
      </c>
      <c r="O40" s="82" t="str">
        <f>IFERROR(AVERAGEIFS('Cartera_Viva-Otros'!AJ:AJ,'Cartera_Viva-Otros'!AL:AL,"2",'Cartera_Viva-Otros'!P:P,"J"),"-")</f>
        <v>-</v>
      </c>
      <c r="P40" s="82" t="str">
        <f>IFERROR(AVERAGEIFS('Cartera_Viva-Otros'!AK:AK,'Cartera_Viva-Otros'!AL:AL,"2",'Cartera_Viva-Otros'!P:P,"J"),"-")</f>
        <v>-</v>
      </c>
      <c r="Q40" s="83">
        <f>+(SUMIFS('Cartera_Viva-Otros'!AM:AM,'Cartera_Viva-Otros'!AL:AL,"2",'Cartera_Viva-Otros'!P:P,"J")+SUMIFS(Saldos_No_Util!G:G,Saldos_No_Util!P:P,"J",Saldos_No_Util!K:K,"2")+SUMIF('Cartera_Viva-Calls'!AF7,"2",'Cartera_Viva-Calls'!AC7))/$E$4</f>
        <v>0</v>
      </c>
    </row>
    <row r="41" spans="13:17" ht="15" thickBot="1" x14ac:dyDescent="0.4">
      <c r="M41" s="73" t="s">
        <v>39</v>
      </c>
      <c r="N41" s="72">
        <f>+SUMIFS('Cartera_Viva-Otros'!AN:AN,'Cartera_Viva-Otros'!AL:AL,"2",'Cartera_Viva-Otros'!P:P,"J",'Cartera_Viva-Otros'!AO:AO,'Resumen PE'!M41)/$E$4</f>
        <v>0</v>
      </c>
      <c r="O41" s="71" t="str">
        <f>IFERROR(AVERAGEIFS('Cartera_Viva-Otros'!AJ:AJ,'Cartera_Viva-Otros'!AL:AL,"2",'Cartera_Viva-Otros'!P:P,"J",'Cartera_Viva-Otros'!AO:AO,'Resumen PE'!M41),"-")</f>
        <v>-</v>
      </c>
      <c r="P41" s="71" t="str">
        <f>IFERROR(AVERAGEIFS('Cartera_Viva-Otros'!AK:AK,'Cartera_Viva-Otros'!AL:AL,"2",'Cartera_Viva-Otros'!P:P,"J",'Cartera_Viva-Otros'!AO:AO,'Resumen PE'!M41),"-")</f>
        <v>-</v>
      </c>
      <c r="Q41" s="68">
        <f>+SUMIFS('Cartera_Viva-Otros'!AM:AM,'Cartera_Viva-Otros'!AL:AL,"2",'Cartera_Viva-Otros'!P:P,"J",'Cartera_Viva-Otros'!AO:AO,'Resumen PE'!M32)/$E$4</f>
        <v>0</v>
      </c>
    </row>
    <row r="42" spans="13:17" ht="15" thickBot="1" x14ac:dyDescent="0.4">
      <c r="M42" s="73" t="s">
        <v>41</v>
      </c>
      <c r="N42" s="72">
        <f>+SUMIFS('Cartera_Viva-Otros'!AN:AN,'Cartera_Viva-Otros'!AL:AL,"2",'Cartera_Viva-Otros'!P:P,"J",'Cartera_Viva-Otros'!AO:AO,'Resumen PE'!M42)/$E$4</f>
        <v>0</v>
      </c>
      <c r="O42" s="71" t="str">
        <f>IFERROR(AVERAGEIFS('Cartera_Viva-Otros'!AJ:AJ,'Cartera_Viva-Otros'!AL:AL,"2",'Cartera_Viva-Otros'!P:P,"J",'Cartera_Viva-Otros'!AO:AO,'Resumen PE'!M42),"-")</f>
        <v>-</v>
      </c>
      <c r="P42" s="71" t="str">
        <f>IFERROR(AVERAGEIFS('Cartera_Viva-Otros'!AK:AK,'Cartera_Viva-Otros'!AL:AL,"2",'Cartera_Viva-Otros'!P:P,"J",'Cartera_Viva-Otros'!AO:AO,'Resumen PE'!M42),"-")</f>
        <v>-</v>
      </c>
      <c r="Q42" s="68">
        <f>+SUMIFS('Cartera_Viva-Otros'!AM:AM,'Cartera_Viva-Otros'!AL:AL,"2",'Cartera_Viva-Otros'!P:P,"J",'Cartera_Viva-Otros'!AO:AO,'Resumen PE'!M33)/$E$4</f>
        <v>0</v>
      </c>
    </row>
    <row r="43" spans="13:17" ht="26.5" thickBot="1" x14ac:dyDescent="0.4">
      <c r="M43" s="73" t="s">
        <v>42</v>
      </c>
      <c r="N43" s="72">
        <f>+SUMIFS('Cartera_Viva-Otros'!AN:AN,'Cartera_Viva-Otros'!AL:AL,"2",'Cartera_Viva-Otros'!P:P,"J",'Cartera_Viva-Otros'!AO:AO,'Resumen PE'!M43)/$E$4</f>
        <v>0</v>
      </c>
      <c r="O43" s="71" t="str">
        <f>IFERROR(AVERAGEIFS('Cartera_Viva-Otros'!AJ:AJ,'Cartera_Viva-Otros'!AL:AL,"2",'Cartera_Viva-Otros'!P:P,"J",'Cartera_Viva-Otros'!AO:AO,'Resumen PE'!M43),"-")</f>
        <v>-</v>
      </c>
      <c r="P43" s="71" t="str">
        <f>IFERROR(AVERAGEIFS('Cartera_Viva-Otros'!AK:AK,'Cartera_Viva-Otros'!AL:AL,"2",'Cartera_Viva-Otros'!P:P,"J",'Cartera_Viva-Otros'!AO:AO,'Resumen PE'!M43),"-")</f>
        <v>-</v>
      </c>
      <c r="Q43" s="68">
        <f>+SUMIFS('Cartera_Viva-Otros'!AM:AM,'Cartera_Viva-Otros'!AL:AL,"2",'Cartera_Viva-Otros'!P:P,"J",'Cartera_Viva-Otros'!AO:AO,'Resumen PE'!M34)/$E$4</f>
        <v>0</v>
      </c>
    </row>
    <row r="44" spans="13:17" ht="15" thickBot="1" x14ac:dyDescent="0.4">
      <c r="M44" s="73" t="s">
        <v>43</v>
      </c>
      <c r="N44" s="72">
        <f>+SUMIFS('Cartera_Viva-Otros'!AN:AN,'Cartera_Viva-Otros'!AL:AL,"2",'Cartera_Viva-Otros'!P:P,"J",'Cartera_Viva-Otros'!AO:AO,'Resumen PE'!M44)/$E$4</f>
        <v>0</v>
      </c>
      <c r="O44" s="71" t="str">
        <f>IFERROR(AVERAGEIFS('Cartera_Viva-Otros'!AJ:AJ,'Cartera_Viva-Otros'!AL:AL,"2",'Cartera_Viva-Otros'!P:P,"J",'Cartera_Viva-Otros'!AO:AO,'Resumen PE'!M44),"-")</f>
        <v>-</v>
      </c>
      <c r="P44" s="71" t="str">
        <f>IFERROR(AVERAGEIFS('Cartera_Viva-Otros'!AK:AK,'Cartera_Viva-Otros'!AL:AL,"2",'Cartera_Viva-Otros'!P:P,"J",'Cartera_Viva-Otros'!AO:AO,'Resumen PE'!M44),"-")</f>
        <v>-</v>
      </c>
      <c r="Q44" s="68">
        <f>+SUMIFS('Cartera_Viva-Otros'!AM:AM,'Cartera_Viva-Otros'!AL:AL,"2",'Cartera_Viva-Otros'!P:P,"J",'Cartera_Viva-Otros'!AO:AO,'Resumen PE'!M35)/$E$4</f>
        <v>0</v>
      </c>
    </row>
    <row r="45" spans="13:17" ht="26.5" thickBot="1" x14ac:dyDescent="0.4">
      <c r="M45" s="73" t="s">
        <v>44</v>
      </c>
      <c r="N45" s="72">
        <f>+SUMIFS('Cartera_Viva-Otros'!AN:AN,'Cartera_Viva-Otros'!AL:AL,"2",'Cartera_Viva-Otros'!P:P,"J",'Cartera_Viva-Otros'!AO:AO,'Resumen PE'!M45)/$E$4</f>
        <v>0</v>
      </c>
      <c r="O45" s="71" t="str">
        <f>IFERROR(AVERAGEIFS('Cartera_Viva-Otros'!AJ:AJ,'Cartera_Viva-Otros'!AL:AL,"2",'Cartera_Viva-Otros'!P:P,"J",'Cartera_Viva-Otros'!AO:AO,'Resumen PE'!M45),"-")</f>
        <v>-</v>
      </c>
      <c r="P45" s="71" t="str">
        <f>IFERROR(AVERAGEIFS('Cartera_Viva-Otros'!AK:AK,'Cartera_Viva-Otros'!AL:AL,"2",'Cartera_Viva-Otros'!P:P,"J",'Cartera_Viva-Otros'!AO:AO,'Resumen PE'!M45),"-")</f>
        <v>-</v>
      </c>
      <c r="Q45" s="68">
        <f>+SUMIFS('Cartera_Viva-Otros'!AM:AM,'Cartera_Viva-Otros'!AL:AL,"2",'Cartera_Viva-Otros'!P:P,"J",'Cartera_Viva-Otros'!AO:AO,'Resumen PE'!M36)/$E$4</f>
        <v>0</v>
      </c>
    </row>
    <row r="46" spans="13:17" ht="15" thickBot="1" x14ac:dyDescent="0.4">
      <c r="M46" s="73" t="s">
        <v>37</v>
      </c>
      <c r="N46" s="72">
        <f>+SUMIFS(Saldos_No_Util!O:O,Saldos_No_Util!K:K,"2",Saldos_No_Util!P:P,"J",Saldos_No_Util!Q:Q,'Resumen PE'!M46)/$E$4</f>
        <v>0</v>
      </c>
      <c r="O46" s="71">
        <f>IFERROR(AVERAGEIFS(Saldos_No_Util!L:L,Saldos_No_Util!K:K,"2",Saldos_No_Util!P:P,"J",Saldos_No_Util!Q:Q,'Resumen PE'!M46),0)</f>
        <v>0</v>
      </c>
      <c r="P46" s="71">
        <f>IFERROR(AVERAGEIFS(Saldos_No_Util!M:M,Saldos_No_Util!K:K,"2",Saldos_No_Util!P:P,"J",Saldos_No_Util!Q:Q,'Resumen PE'!M46),0)</f>
        <v>0</v>
      </c>
      <c r="Q46" s="68">
        <f>+SUMIFS(Saldos_No_Util!G:G,Saldos_No_Util!K:K,"2",Saldos_No_Util!P:P,"J",Saldos_No_Util!Q:Q,'Resumen PE'!M46)/$E$4</f>
        <v>0</v>
      </c>
    </row>
    <row r="47" spans="13:17" ht="26.5" thickBot="1" x14ac:dyDescent="0.4">
      <c r="M47" s="73" t="s">
        <v>40</v>
      </c>
      <c r="N47" s="72">
        <f>+SUMIFS(Saldos_No_Util!O:O,Saldos_No_Util!K:K,"2",Saldos_No_Util!P:P,"J",Saldos_No_Util!Q:Q,'Resumen PE'!M47)/$E$4</f>
        <v>0</v>
      </c>
      <c r="O47" s="71" t="str">
        <f>IFERROR(AVERAGEIFS(Saldos_No_Util!L:L,Saldos_No_Util!K:K,"2",Saldos_No_Util!P:P,"J",Saldos_No_Util!Q:Q,'Resumen PE'!M47),"-")</f>
        <v>-</v>
      </c>
      <c r="P47" s="71" t="str">
        <f>IFERROR(AVERAGEIFS(Saldos_No_Util!M:M,Saldos_No_Util!K:K,"2",Saldos_No_Util!P:P,"J",Saldos_No_Util!Q:Q,'Resumen PE'!M47),"-")</f>
        <v>-</v>
      </c>
      <c r="Q47" s="68">
        <f>+SUMIFS(Saldos_No_Util!G:G,Saldos_No_Util!K:K,"2",Saldos_No_Util!P:P,"J",Saldos_No_Util!Q:Q,'Resumen PE'!M47)/$E$4</f>
        <v>0</v>
      </c>
    </row>
    <row r="48" spans="13:17" ht="15" thickBot="1" x14ac:dyDescent="0.4">
      <c r="M48" s="74" t="s">
        <v>49</v>
      </c>
      <c r="N48" s="72">
        <f>+'Cartera_Viva-Calls'!AJ22/1000000</f>
        <v>0</v>
      </c>
      <c r="O48" s="71">
        <f>+'Cartera_Viva-Calls'!AH22</f>
        <v>0</v>
      </c>
      <c r="P48" s="71">
        <f>+'Cartera_Viva-Calls'!AI22</f>
        <v>0</v>
      </c>
      <c r="Q48" s="68">
        <f>+'Cartera_Viva-Calls'!AC22/1000000</f>
        <v>0</v>
      </c>
    </row>
    <row r="49" spans="13:17" ht="15" thickBot="1" x14ac:dyDescent="0.4">
      <c r="M49" s="74" t="s">
        <v>45</v>
      </c>
      <c r="N49" s="72">
        <f>+SUMIFS('Cartera_Viva-Otros'!AN:AN,'Cartera_Viva-Otros'!AL:AL,"2",'Cartera_Viva-Otros'!P:P,"J",'Cartera_Viva-Otros'!AO:AO,"IVA Debito Fiscal no Cobrados")/$E$4</f>
        <v>0</v>
      </c>
      <c r="O49" s="71" t="str">
        <f>IFERROR(AVERAGEIFS('Cartera_Viva-Otros'!AJ:AJ,'Cartera_Viva-Otros'!AL:AL,"2",'Cartera_Viva-Otros'!P:P,"J",'Cartera_Viva-Otros'!AO:AO,"IVA Debito Fiscal no Cobrados"),"-")</f>
        <v>-</v>
      </c>
      <c r="P49" s="71" t="str">
        <f>IFERROR(AVERAGEIFS('Cartera_Viva-Otros'!AK:AK,'Cartera_Viva-Otros'!AL:AL,"2",'Cartera_Viva-Otros'!P:P,"J",'Cartera_Viva-Otros'!AO:AO,"IVA Debito Fiscal no Cobrados"),"-")</f>
        <v>-</v>
      </c>
      <c r="Q49" s="68">
        <f>+SUMIFS('Cartera_Viva-Otros'!AM:AM,'Cartera_Viva-Otros'!AL:AL,"2",'Cartera_Viva-Otros'!P:P,"J",'Cartera_Viva-Otros'!AO:AO,"IVA Debito Fiscal no Cobrados")/$E$4</f>
        <v>0</v>
      </c>
    </row>
    <row r="50" spans="13:17" ht="15" thickBot="1" x14ac:dyDescent="0.4">
      <c r="M50" s="30" t="s">
        <v>38</v>
      </c>
      <c r="N50" s="31"/>
      <c r="O50" s="31"/>
      <c r="P50" s="31"/>
      <c r="Q50" s="31"/>
    </row>
    <row r="51" spans="13:17" ht="15" thickBot="1" x14ac:dyDescent="0.4">
      <c r="M51" s="80" t="s">
        <v>36</v>
      </c>
      <c r="N51" s="87">
        <f>+(SUMIFS('Cartera_Viva-Otros'!AN:AN,'Cartera_Viva-Otros'!AL:AL,"3",'Cartera_Viva-Otros'!P:P,"F")+SUMIFS(Saldos_No_Util!O:O,Saldos_No_Util!K:K,"3",Saldos_No_Util!P:P,"F"))/$E$4</f>
        <v>0.35015728059469314</v>
      </c>
      <c r="O51" s="82" t="e">
        <f>AVERAGEIFS('Cartera_Viva-Otros'!AJ:AJ,'Cartera_Viva-Otros'!AL:AL,"3",'Cartera_Viva-Otros'!P:P,"F")</f>
        <v>#DIV/0!</v>
      </c>
      <c r="P51" s="82" t="e">
        <f>AVERAGEIFS('Cartera_Viva-Otros'!AK:AK,'Cartera_Viva-Otros'!AL:AL,"3",'Cartera_Viva-Otros'!P:P,"F")</f>
        <v>#DIV/0!</v>
      </c>
      <c r="Q51" s="83">
        <f>+(SUMIFS('Cartera_Viva-Otros'!AM:AM,'Cartera_Viva-Otros'!AL:AL,"3",'Cartera_Viva-Otros'!P:P,"F")+SUMIFS(Saldos_No_Util!G:G,Saldos_No_Util!K:K,"3",Saldos_No_Util!P:P,"F"))/$E$4</f>
        <v>0.71197469999999996</v>
      </c>
    </row>
    <row r="52" spans="13:17" ht="15" thickBot="1" x14ac:dyDescent="0.4">
      <c r="M52" s="73" t="s">
        <v>39</v>
      </c>
      <c r="N52" s="72">
        <f>+SUMIFS('Cartera_Viva-Otros'!AN:AN,'Cartera_Viva-Otros'!AL:AL,"3",'Cartera_Viva-Otros'!P:P,"F",'Cartera_Viva-Otros'!AO:AO,'Resumen PE'!M52)/$E$4</f>
        <v>0</v>
      </c>
      <c r="O52" s="71" t="str">
        <f>IFERROR(AVERAGEIFS('Cartera_Viva-Otros'!AJ:AJ,'Cartera_Viva-Otros'!AL:AL,"3",'Cartera_Viva-Otros'!P:P,"F",'Cartera_Viva-Otros'!AO:AO,'Resumen PE'!M52),"-")</f>
        <v>-</v>
      </c>
      <c r="P52" s="71" t="str">
        <f>IFERROR(AVERAGEIFS('Cartera_Viva-Otros'!AK:AK,'Cartera_Viva-Otros'!AL:AL,"3",'Cartera_Viva-Otros'!P:P,"F",'Cartera_Viva-Otros'!AO:AO,'Resumen PE'!M52),"-")</f>
        <v>-</v>
      </c>
      <c r="Q52" s="68">
        <f>+SUMIFS('Cartera_Viva-Otros'!AM:AM,'Cartera_Viva-Otros'!AL:AL,"3",'Cartera_Viva-Otros'!P:P,"F",'Cartera_Viva-Otros'!AO:AO,'Resumen PE'!M52)/$E$4</f>
        <v>0</v>
      </c>
    </row>
    <row r="53" spans="13:17" ht="15" thickBot="1" x14ac:dyDescent="0.4">
      <c r="M53" s="73" t="s">
        <v>41</v>
      </c>
      <c r="N53" s="72">
        <f>+SUMIFS('Cartera_Viva-Otros'!AN:AN,'Cartera_Viva-Otros'!AL:AL,"3",'Cartera_Viva-Otros'!P:P,"F",'Cartera_Viva-Otros'!AO:AO,'Resumen PE'!M53)/$E$4</f>
        <v>0</v>
      </c>
      <c r="O53" s="71" t="str">
        <f>IFERROR(AVERAGEIFS('Cartera_Viva-Otros'!AJ:AJ,'Cartera_Viva-Otros'!AL:AL,"3",'Cartera_Viva-Otros'!P:P,"F",'Cartera_Viva-Otros'!AO:AO,'Resumen PE'!M53),"-")</f>
        <v>-</v>
      </c>
      <c r="P53" s="71" t="str">
        <f>IFERROR(AVERAGEIFS('Cartera_Viva-Otros'!AK:AK,'Cartera_Viva-Otros'!AL:AL,"3",'Cartera_Viva-Otros'!P:P,"F",'Cartera_Viva-Otros'!AO:AO,'Resumen PE'!M53),"-")</f>
        <v>-</v>
      </c>
      <c r="Q53" s="68">
        <f>+SUMIFS('Cartera_Viva-Otros'!AM:AM,'Cartera_Viva-Otros'!AL:AL,"3",'Cartera_Viva-Otros'!P:P,"F",'Cartera_Viva-Otros'!AO:AO,'Resumen PE'!M53)/$E$4</f>
        <v>0</v>
      </c>
    </row>
    <row r="54" spans="13:17" ht="26.5" thickBot="1" x14ac:dyDescent="0.4">
      <c r="M54" s="73" t="s">
        <v>42</v>
      </c>
      <c r="N54" s="72">
        <f>+SUMIFS('Cartera_Viva-Otros'!AN:AN,'Cartera_Viva-Otros'!AL:AL,"3",'Cartera_Viva-Otros'!P:P,"F",'Cartera_Viva-Otros'!AO:AO,'Resumen PE'!M54)/$E$4</f>
        <v>0</v>
      </c>
      <c r="O54" s="71" t="str">
        <f>IFERROR(AVERAGEIFS('Cartera_Viva-Otros'!AJ:AJ,'Cartera_Viva-Otros'!AL:AL,"3",'Cartera_Viva-Otros'!P:P,"F",'Cartera_Viva-Otros'!AO:AO,'Resumen PE'!M54),"-")</f>
        <v>-</v>
      </c>
      <c r="P54" s="71" t="str">
        <f>IFERROR(AVERAGEIFS('Cartera_Viva-Otros'!AK:AK,'Cartera_Viva-Otros'!AL:AL,"3",'Cartera_Viva-Otros'!P:P,"F",'Cartera_Viva-Otros'!AO:AO,'Resumen PE'!M54),"-")</f>
        <v>-</v>
      </c>
      <c r="Q54" s="68">
        <f>+SUMIFS('Cartera_Viva-Otros'!AM:AM,'Cartera_Viva-Otros'!AL:AL,"3",'Cartera_Viva-Otros'!P:P,"F",'Cartera_Viva-Otros'!AO:AO,'Resumen PE'!M54)/$E$4</f>
        <v>0</v>
      </c>
    </row>
    <row r="55" spans="13:17" ht="15" thickBot="1" x14ac:dyDescent="0.4">
      <c r="M55" s="73" t="s">
        <v>43</v>
      </c>
      <c r="N55" s="72">
        <f>+SUMIFS('Cartera_Viva-Otros'!AN:AN,'Cartera_Viva-Otros'!AL:AL,"3",'Cartera_Viva-Otros'!P:P,"F",'Cartera_Viva-Otros'!AO:AO,'Resumen PE'!M55)/$E$4</f>
        <v>0</v>
      </c>
      <c r="O55" s="71" t="str">
        <f>IFERROR(AVERAGEIFS('Cartera_Viva-Otros'!AJ:AJ,'Cartera_Viva-Otros'!AL:AL,"3",'Cartera_Viva-Otros'!P:P,"F",'Cartera_Viva-Otros'!AO:AO,'Resumen PE'!M55),"-")</f>
        <v>-</v>
      </c>
      <c r="P55" s="71" t="str">
        <f>IFERROR(AVERAGEIFS('Cartera_Viva-Otros'!AK:AK,'Cartera_Viva-Otros'!AL:AL,"3",'Cartera_Viva-Otros'!P:P,"F",'Cartera_Viva-Otros'!AO:AO,'Resumen PE'!M55),"-")</f>
        <v>-</v>
      </c>
      <c r="Q55" s="68">
        <f>+SUMIFS('Cartera_Viva-Otros'!AM:AM,'Cartera_Viva-Otros'!AL:AL,"3",'Cartera_Viva-Otros'!P:P,"F",'Cartera_Viva-Otros'!AO:AO,'Resumen PE'!M55)/$E$4</f>
        <v>0</v>
      </c>
    </row>
    <row r="56" spans="13:17" ht="26.5" thickBot="1" x14ac:dyDescent="0.4">
      <c r="M56" s="73" t="s">
        <v>44</v>
      </c>
      <c r="N56" s="72">
        <f>+SUMIFS('Cartera_Viva-Otros'!AN:AN,'Cartera_Viva-Otros'!AL:AL,"3",'Cartera_Viva-Otros'!P:P,"F",'Cartera_Viva-Otros'!AO:AO,'Resumen PE'!M56)/$E$4</f>
        <v>0</v>
      </c>
      <c r="O56" s="71" t="str">
        <f>IFERROR(AVERAGEIFS('Cartera_Viva-Otros'!AJ:AJ,'Cartera_Viva-Otros'!AL:AL,"3",'Cartera_Viva-Otros'!P:P,"F",'Cartera_Viva-Otros'!AO:AO,'Resumen PE'!M56),"-")</f>
        <v>-</v>
      </c>
      <c r="P56" s="71" t="str">
        <f>IFERROR(AVERAGEIFS('Cartera_Viva-Otros'!AK:AK,'Cartera_Viva-Otros'!AL:AL,"3",'Cartera_Viva-Otros'!P:P,"F",'Cartera_Viva-Otros'!AO:AO,'Resumen PE'!M56),"-")</f>
        <v>-</v>
      </c>
      <c r="Q56" s="68">
        <f>+SUMIFS('Cartera_Viva-Otros'!AM:AM,'Cartera_Viva-Otros'!AL:AL,"3",'Cartera_Viva-Otros'!P:P,"F",'Cartera_Viva-Otros'!AO:AO,'Resumen PE'!M56)/$E$4</f>
        <v>0</v>
      </c>
    </row>
    <row r="57" spans="13:17" ht="15" thickBot="1" x14ac:dyDescent="0.4">
      <c r="M57" s="73" t="s">
        <v>37</v>
      </c>
      <c r="N57" s="72">
        <f>+SUMIFS(Saldos_No_Util!O:O,Saldos_No_Util!K:K,"3",Saldos_No_Util!P:P,"F",Saldos_No_Util!Q:Q,'Resumen PE'!M57)/$E$4</f>
        <v>0.35015728059469314</v>
      </c>
      <c r="O57" s="71">
        <f>IFERROR(AVERAGEIFS(Saldos_No_Util!L:L,Saldos_No_Util!K:K,"3",Saldos_No_Util!P:P,"F",Saldos_No_Util!Q:Q,'Resumen PE'!M57),0)</f>
        <v>1</v>
      </c>
      <c r="P57" s="71">
        <f>IFERROR(AVERAGEIFS(Saldos_No_Util!M:M,Saldos_No_Util!K:K,"3",Saldos_No_Util!P:P,"F",Saldos_No_Util!Q:Q,'Resumen PE'!M57),0)</f>
        <v>0.92250106026350687</v>
      </c>
      <c r="Q57" s="68">
        <f>+SUMIFS(Saldos_No_Util!G:G,Saldos_No_Util!K:K,"3",Saldos_No_Util!P:P,"F",Saldos_No_Util!Q:Q,'Resumen PE'!M57)/$E$4</f>
        <v>0.71197469999999996</v>
      </c>
    </row>
    <row r="58" spans="13:17" ht="26.5" thickBot="1" x14ac:dyDescent="0.4">
      <c r="M58" s="73" t="s">
        <v>40</v>
      </c>
      <c r="N58" s="72">
        <f>+SUMIFS('Cartera_Viva-Otros'!AN:AN,'Cartera_Viva-Otros'!AL:AL,"3",'Cartera_Viva-Otros'!P:P,"F",'Cartera_Viva-Otros'!AO:AO,'Resumen PE'!M58)/$E$4</f>
        <v>0</v>
      </c>
      <c r="O58" s="71" t="str">
        <f>IFERROR(AVERAGEIFS(Saldos_No_Util!L:L,Saldos_No_Util!K:K,"3",Saldos_No_Util!P:P,"F",Saldos_No_Util!Q:Q,'Resumen PE'!M58),"-")</f>
        <v>-</v>
      </c>
      <c r="P58" s="71" t="str">
        <f>IFERROR(AVERAGEIFS(Saldos_No_Util!M:M,Saldos_No_Util!K:K,"3",Saldos_No_Util!P:P,"F",Saldos_No_Util!Q:Q,'Resumen PE'!M58),"-")</f>
        <v>-</v>
      </c>
      <c r="Q58" s="68">
        <f>+SUMIFS('Cartera_Viva-Otros'!AM:AM,'Cartera_Viva-Otros'!AL:AL,"3",'Cartera_Viva-Otros'!P:P,"F",'Cartera_Viva-Otros'!AO:AO,'Resumen PE'!M58)/$E$4</f>
        <v>0</v>
      </c>
    </row>
    <row r="59" spans="13:17" ht="15" thickBot="1" x14ac:dyDescent="0.4">
      <c r="M59" s="73" t="s">
        <v>45</v>
      </c>
      <c r="N59" s="72">
        <f>+SUMIFS('Cartera_Viva-Otros'!AN:AN,'Cartera_Viva-Otros'!AL:AL,"3",'Cartera_Viva-Otros'!P:P,"F",'Cartera_Viva-Otros'!AO:AO,'Resumen PE'!M59)/$E$4</f>
        <v>0</v>
      </c>
      <c r="O59" s="71" t="str">
        <f>IFERROR(AVERAGEIFS('Cartera_Viva-Otros'!AJ:AJ,'Cartera_Viva-Otros'!AL:AL,"3",'Cartera_Viva-Otros'!P:P,"F",'Cartera_Viva-Otros'!AO:AO,"IVA Debito Fiscal no Cobrados"),"-")</f>
        <v>-</v>
      </c>
      <c r="P59" s="71" t="str">
        <f>IFERROR(AVERAGEIFS('Cartera_Viva-Otros'!AK:AK,'Cartera_Viva-Otros'!AL:AL,"3",'Cartera_Viva-Otros'!P:P,"F",'Cartera_Viva-Otros'!AO:AO,"IVA Debito Fiscal no Cobrados"),"-")</f>
        <v>-</v>
      </c>
      <c r="Q59" s="68">
        <f>+SUMIFS('Cartera_Viva-Otros'!AM:AM,'Cartera_Viva-Otros'!AL:AL,"3",'Cartera_Viva-Otros'!P:P,"F",'Cartera_Viva-Otros'!AO:AO,"IVA Debito Fiscal no Cobrados")/$E$4</f>
        <v>0</v>
      </c>
    </row>
    <row r="60" spans="13:17" ht="15" thickBot="1" x14ac:dyDescent="0.4">
      <c r="M60" s="80" t="s">
        <v>47</v>
      </c>
      <c r="N60" s="87">
        <f>+(SUMIFS('Cartera_Viva-Otros'!AN:AN,'Cartera_Viva-Otros'!AL:AL,"3",'Cartera_Viva-Otros'!P:P,"J")+SUMIFS(Saldos_No_Util!O:O,Saldos_No_Util!P:P,"J",Saldos_No_Util!K:K,"3")+SUMIF('Cartera_Viva-Calls'!AF7,"3",'Cartera_Viva-Calls'!AJ7))/$E$4</f>
        <v>0</v>
      </c>
      <c r="O60" s="82" t="str">
        <f>IFERROR(AVERAGEIFS('Cartera_Viva-Otros'!AJ:AJ,'Cartera_Viva-Otros'!AL:AL,"3",'Cartera_Viva-Otros'!P:P,"J"),"-")</f>
        <v>-</v>
      </c>
      <c r="P60" s="82" t="str">
        <f>IFERROR(AVERAGEIFS('Cartera_Viva-Otros'!AK:AK,'Cartera_Viva-Otros'!AL:AL,"3",'Cartera_Viva-Otros'!P:P,"J"),"-")</f>
        <v>-</v>
      </c>
      <c r="Q60" s="83">
        <f>+(SUMIFS('Cartera_Viva-Otros'!AM:AM,'Cartera_Viva-Otros'!AL:AL,"3",'Cartera_Viva-Otros'!P:P,"J")+SUMIFS(Saldos_No_Util!G:G,Saldos_No_Util!P:P,"J",Saldos_No_Util!K:K,"3")+SUMIF('Cartera_Viva-Calls'!AF7,"3",'Cartera_Viva-Calls'!AC7))/$E$4</f>
        <v>0</v>
      </c>
    </row>
    <row r="61" spans="13:17" ht="15" thickBot="1" x14ac:dyDescent="0.4">
      <c r="M61" s="73" t="s">
        <v>39</v>
      </c>
      <c r="N61" s="72">
        <f>+SUMIFS('Cartera_Viva-Otros'!AN:AN,'Cartera_Viva-Otros'!AL:AL,"3",'Cartera_Viva-Otros'!P:P,"J",'Cartera_Viva-Otros'!AO:AO,'Resumen PE'!M61)/$E$4</f>
        <v>0</v>
      </c>
      <c r="O61" s="71" t="str">
        <f>IFERROR(AVERAGEIFS('Cartera_Viva-Otros'!AJ:AJ,'Cartera_Viva-Otros'!AL:AL,"3",'Cartera_Viva-Otros'!P:P,"J",'Cartera_Viva-Otros'!AO:AO,'Resumen PE'!M61),"-")</f>
        <v>-</v>
      </c>
      <c r="P61" s="71" t="str">
        <f>IFERROR(AVERAGEIFS('Cartera_Viva-Otros'!AK:AK,'Cartera_Viva-Otros'!AL:AL,"3",'Cartera_Viva-Otros'!P:P,"J",'Cartera_Viva-Otros'!AO:AO,'Resumen PE'!M61),"-")</f>
        <v>-</v>
      </c>
      <c r="Q61" s="68">
        <f>+SUMIFS('Cartera_Viva-Otros'!AM:AM,'Cartera_Viva-Otros'!AL:AL,"3",'Cartera_Viva-Otros'!P:P,"J",'Cartera_Viva-Otros'!AO:AO,'Resumen PE'!M52)/$E$4</f>
        <v>0</v>
      </c>
    </row>
    <row r="62" spans="13:17" ht="15" thickBot="1" x14ac:dyDescent="0.4">
      <c r="M62" s="73" t="s">
        <v>41</v>
      </c>
      <c r="N62" s="72">
        <f>+SUMIFS('Cartera_Viva-Otros'!AN:AN,'Cartera_Viva-Otros'!AL:AL,"3",'Cartera_Viva-Otros'!P:P,"J",'Cartera_Viva-Otros'!AO:AO,'Resumen PE'!M62)/$E$4</f>
        <v>0</v>
      </c>
      <c r="O62" s="71" t="str">
        <f>IFERROR(AVERAGEIFS('Cartera_Viva-Otros'!AJ:AJ,'Cartera_Viva-Otros'!AL:AL,"3",'Cartera_Viva-Otros'!P:P,"J",'Cartera_Viva-Otros'!AO:AO,'Resumen PE'!M62),"-")</f>
        <v>-</v>
      </c>
      <c r="P62" s="71" t="str">
        <f>IFERROR(AVERAGEIFS('Cartera_Viva-Otros'!AK:AK,'Cartera_Viva-Otros'!AL:AL,"3",'Cartera_Viva-Otros'!P:P,"J",'Cartera_Viva-Otros'!AO:AO,'Resumen PE'!M62),"-")</f>
        <v>-</v>
      </c>
      <c r="Q62" s="68">
        <f>+SUMIFS('Cartera_Viva-Otros'!AM:AM,'Cartera_Viva-Otros'!AL:AL,"3",'Cartera_Viva-Otros'!P:P,"J",'Cartera_Viva-Otros'!AO:AO,'Resumen PE'!M53)/$E$4</f>
        <v>0</v>
      </c>
    </row>
    <row r="63" spans="13:17" ht="26.5" thickBot="1" x14ac:dyDescent="0.4">
      <c r="M63" s="73" t="s">
        <v>42</v>
      </c>
      <c r="N63" s="72">
        <f>+SUMIFS('Cartera_Viva-Otros'!AN:AN,'Cartera_Viva-Otros'!AL:AL,"3",'Cartera_Viva-Otros'!P:P,"J",'Cartera_Viva-Otros'!AO:AO,'Resumen PE'!M63)/$E$4</f>
        <v>0</v>
      </c>
      <c r="O63" s="71" t="str">
        <f>IFERROR(AVERAGEIFS('Cartera_Viva-Otros'!AJ:AJ,'Cartera_Viva-Otros'!AL:AL,"3",'Cartera_Viva-Otros'!P:P,"J",'Cartera_Viva-Otros'!AO:AO,'Resumen PE'!M63),"-")</f>
        <v>-</v>
      </c>
      <c r="P63" s="71" t="str">
        <f>IFERROR(AVERAGEIFS('Cartera_Viva-Otros'!AK:AK,'Cartera_Viva-Otros'!AL:AL,"3",'Cartera_Viva-Otros'!P:P,"J",'Cartera_Viva-Otros'!AO:AO,'Resumen PE'!M63),"-")</f>
        <v>-</v>
      </c>
      <c r="Q63" s="68">
        <f>+SUMIFS('Cartera_Viva-Otros'!AM:AM,'Cartera_Viva-Otros'!AL:AL,"3",'Cartera_Viva-Otros'!P:P,"J",'Cartera_Viva-Otros'!AO:AO,'Resumen PE'!M54)/$E$4</f>
        <v>0</v>
      </c>
    </row>
    <row r="64" spans="13:17" ht="15" thickBot="1" x14ac:dyDescent="0.4">
      <c r="M64" s="73" t="s">
        <v>43</v>
      </c>
      <c r="N64" s="72">
        <f>+SUMIFS('Cartera_Viva-Otros'!AN:AN,'Cartera_Viva-Otros'!AL:AL,"3",'Cartera_Viva-Otros'!P:P,"J",'Cartera_Viva-Otros'!AO:AO,'Resumen PE'!M64)/$E$4</f>
        <v>0</v>
      </c>
      <c r="O64" s="71" t="str">
        <f>IFERROR(AVERAGEIFS('Cartera_Viva-Otros'!AJ:AJ,'Cartera_Viva-Otros'!AL:AL,"3",'Cartera_Viva-Otros'!P:P,"J",'Cartera_Viva-Otros'!AO:AO,'Resumen PE'!M64),"-")</f>
        <v>-</v>
      </c>
      <c r="P64" s="71" t="str">
        <f>IFERROR(AVERAGEIFS('Cartera_Viva-Otros'!AK:AK,'Cartera_Viva-Otros'!AL:AL,"3",'Cartera_Viva-Otros'!P:P,"J",'Cartera_Viva-Otros'!AO:AO,'Resumen PE'!M64),"-")</f>
        <v>-</v>
      </c>
      <c r="Q64" s="68">
        <f>+SUMIFS('Cartera_Viva-Otros'!AM:AM,'Cartera_Viva-Otros'!AL:AL,"3",'Cartera_Viva-Otros'!P:P,"J",'Cartera_Viva-Otros'!AO:AO,'Resumen PE'!M55)/$E$4</f>
        <v>0</v>
      </c>
    </row>
    <row r="65" spans="13:17" ht="26.5" thickBot="1" x14ac:dyDescent="0.4">
      <c r="M65" s="73" t="s">
        <v>44</v>
      </c>
      <c r="N65" s="72">
        <f>+SUMIFS('Cartera_Viva-Otros'!AN:AN,'Cartera_Viva-Otros'!AL:AL,"3",'Cartera_Viva-Otros'!P:P,"J",'Cartera_Viva-Otros'!AO:AO,'Resumen PE'!M65)/$E$4</f>
        <v>0</v>
      </c>
      <c r="O65" s="71" t="str">
        <f>IFERROR(AVERAGEIFS('Cartera_Viva-Otros'!AJ:AJ,'Cartera_Viva-Otros'!AL:AL,"3",'Cartera_Viva-Otros'!P:P,"J",'Cartera_Viva-Otros'!AO:AO,'Resumen PE'!M65),"-")</f>
        <v>-</v>
      </c>
      <c r="P65" s="71" t="str">
        <f>IFERROR(AVERAGEIFS('Cartera_Viva-Otros'!AK:AK,'Cartera_Viva-Otros'!AL:AL,"3",'Cartera_Viva-Otros'!P:P,"J",'Cartera_Viva-Otros'!AO:AO,'Resumen PE'!M65),"-")</f>
        <v>-</v>
      </c>
      <c r="Q65" s="68">
        <f>+SUMIFS('Cartera_Viva-Otros'!AM:AM,'Cartera_Viva-Otros'!AL:AL,"3",'Cartera_Viva-Otros'!P:P,"J",'Cartera_Viva-Otros'!AO:AO,'Resumen PE'!M56)/$E$4</f>
        <v>0</v>
      </c>
    </row>
    <row r="66" spans="13:17" ht="15" thickBot="1" x14ac:dyDescent="0.4">
      <c r="M66" s="73" t="s">
        <v>37</v>
      </c>
      <c r="N66" s="72">
        <f>+SUMIFS(Saldos_No_Util!O:O,Saldos_No_Util!K:K,"3",Saldos_No_Util!P:P,"J",Saldos_No_Util!Q:Q,'Resumen PE'!M66)/$E$4</f>
        <v>0</v>
      </c>
      <c r="O66" s="71">
        <f>IFERROR(AVERAGEIFS(Saldos_No_Util!L:L,Saldos_No_Util!K:K,"3",Saldos_No_Util!P:P,"J",Saldos_No_Util!Q:Q,'Resumen PE'!M66),0)</f>
        <v>0</v>
      </c>
      <c r="P66" s="71">
        <f>IFERROR(AVERAGEIFS(Saldos_No_Util!M:M,Saldos_No_Util!K:K,"3",Saldos_No_Util!P:P,"J",Saldos_No_Util!Q:Q,'Resumen PE'!M66),0)</f>
        <v>0</v>
      </c>
      <c r="Q66" s="68">
        <f>+SUMIFS(Saldos_No_Util!G:G,Saldos_No_Util!K:K,"3",Saldos_No_Util!P:P,"J",Saldos_No_Util!Q:Q,'Resumen PE'!M66)/$E$4</f>
        <v>0</v>
      </c>
    </row>
    <row r="67" spans="13:17" ht="26.5" thickBot="1" x14ac:dyDescent="0.4">
      <c r="M67" s="73" t="s">
        <v>40</v>
      </c>
      <c r="N67" s="72">
        <f>+SUMIFS('Cartera_Viva-Otros'!AN:AN,'Cartera_Viva-Otros'!AL:AL,"3",'Cartera_Viva-Otros'!P:P,"J",'Cartera_Viva-Otros'!AO:AO,'Resumen PE'!M67)/$E$4</f>
        <v>0</v>
      </c>
      <c r="O67" s="71" t="str">
        <f>IFERROR(AVERAGEIFS(Saldos_No_Util!L:L,Saldos_No_Util!K:K,"3",Saldos_No_Util!P:P,"J",Saldos_No_Util!Q:Q,'Resumen PE'!M67),"-")</f>
        <v>-</v>
      </c>
      <c r="P67" s="71" t="str">
        <f>IFERROR(AVERAGEIFS(Saldos_No_Util!M:M,Saldos_No_Util!K:K,"3",Saldos_No_Util!P:P,"J",Saldos_No_Util!Q:Q,'Resumen PE'!M67),"-")</f>
        <v>-</v>
      </c>
      <c r="Q67" s="68">
        <f>+SUMIFS('Cartera_Viva-Otros'!AM:AM,'Cartera_Viva-Otros'!AL:AL,"3",'Cartera_Viva-Otros'!P:P,"J",'Cartera_Viva-Otros'!AO:AO,'Resumen PE'!M67)/$E$4</f>
        <v>0</v>
      </c>
    </row>
    <row r="68" spans="13:17" ht="15" thickBot="1" x14ac:dyDescent="0.4">
      <c r="M68" s="74" t="s">
        <v>49</v>
      </c>
      <c r="N68" s="72">
        <f>+'Cartera_Viva-Calls'!AJ42/1000000</f>
        <v>0</v>
      </c>
      <c r="O68" s="71">
        <f>+'Cartera_Viva-Calls'!AH42</f>
        <v>0</v>
      </c>
      <c r="P68" s="71">
        <f>+'Cartera_Viva-Calls'!AI42</f>
        <v>0</v>
      </c>
      <c r="Q68" s="68">
        <f>+'Cartera_Viva-Calls'!AC42/1000000</f>
        <v>0</v>
      </c>
    </row>
    <row r="69" spans="13:17" ht="15" thickBot="1" x14ac:dyDescent="0.4">
      <c r="M69" s="74" t="s">
        <v>45</v>
      </c>
      <c r="N69" s="72">
        <f>+SUMIFS('Cartera_Viva-Otros'!AN:AN,'Cartera_Viva-Otros'!AL:AL,"3",'Cartera_Viva-Otros'!P:P,"J",'Cartera_Viva-Otros'!AO:AO,"IVA Debito Fiscal no Cobrados")/$E$4</f>
        <v>0</v>
      </c>
      <c r="O69" s="71" t="str">
        <f>IFERROR(AVERAGEIFS('Cartera_Viva-Otros'!AJ:AJ,'Cartera_Viva-Otros'!AL:AL,"3",'Cartera_Viva-Otros'!P:P,"J",'Cartera_Viva-Otros'!AO:AO,"IVA Debito Fiscal no Cobrados"),"-")</f>
        <v>-</v>
      </c>
      <c r="P69" s="71" t="str">
        <f>IFERROR(AVERAGEIFS('Cartera_Viva-Otros'!AK:AK,'Cartera_Viva-Otros'!AL:AL,"3",'Cartera_Viva-Otros'!P:P,"J",'Cartera_Viva-Otros'!AO:AO,"IVA Debito Fiscal no Cobrados"),"-")</f>
        <v>-</v>
      </c>
      <c r="Q69" s="68">
        <f>+SUMIFS('Cartera_Viva-Otros'!AM:AM,'Cartera_Viva-Otros'!AL:AL,"3",'Cartera_Viva-Otros'!P:P,"J",'Cartera_Viva-Otros'!AO:AO,"IVA Debito Fiscal no Cobrados")/$E$4</f>
        <v>0</v>
      </c>
    </row>
    <row r="71" spans="13:17" x14ac:dyDescent="0.35">
      <c r="N71" s="77"/>
      <c r="Q71" s="76"/>
    </row>
    <row r="72" spans="13:17" x14ac:dyDescent="0.35">
      <c r="N72" s="85"/>
    </row>
    <row r="73" spans="13:17" x14ac:dyDescent="0.35">
      <c r="N73" s="85"/>
    </row>
    <row r="74" spans="13:17" x14ac:dyDescent="0.35">
      <c r="N74" s="85"/>
    </row>
    <row r="75" spans="13:17" x14ac:dyDescent="0.35">
      <c r="N75" s="85"/>
    </row>
    <row r="76" spans="13:17" x14ac:dyDescent="0.35">
      <c r="N76" s="8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833F5-9011-40B0-8F19-78CC86570632}">
  <dimension ref="A1:AS378"/>
  <sheetViews>
    <sheetView topLeftCell="AF1" zoomScale="90" zoomScaleNormal="90" workbookViewId="0">
      <selection activeCell="AM144" sqref="AM144"/>
    </sheetView>
  </sheetViews>
  <sheetFormatPr baseColWidth="10" defaultColWidth="9.1796875" defaultRowHeight="14.5" x14ac:dyDescent="0.35"/>
  <cols>
    <col min="1" max="1" width="10" bestFit="1" customWidth="1"/>
    <col min="4" max="4" width="12.54296875" customWidth="1"/>
    <col min="6" max="6" width="10.7265625" bestFit="1" customWidth="1"/>
    <col min="7" max="8" width="10.81640625" customWidth="1"/>
    <col min="9" max="9" width="6" customWidth="1"/>
    <col min="10" max="10" width="9.1796875" customWidth="1"/>
    <col min="11" max="11" width="7.1796875" customWidth="1"/>
    <col min="12" max="12" width="8" customWidth="1"/>
    <col min="13" max="13" width="7.54296875" customWidth="1"/>
    <col min="14" max="15" width="9.1796875" customWidth="1"/>
    <col min="16" max="16" width="7.81640625" customWidth="1"/>
    <col min="17" max="17" width="10.81640625" customWidth="1"/>
    <col min="18" max="18" width="17" customWidth="1"/>
    <col min="19" max="19" width="14.7265625" customWidth="1"/>
    <col min="20" max="20" width="13.7265625" customWidth="1"/>
    <col min="21" max="21" width="16.1796875" bestFit="1" customWidth="1"/>
    <col min="22" max="22" width="10.81640625" bestFit="1" customWidth="1"/>
    <col min="23" max="24" width="10.453125" customWidth="1"/>
    <col min="25" max="25" width="12.7265625" customWidth="1"/>
    <col min="26" max="26" width="7.26953125" customWidth="1"/>
    <col min="27" max="27" width="5.54296875" customWidth="1"/>
    <col min="28" max="28" width="10.54296875" customWidth="1"/>
    <col min="29" max="29" width="12.1796875" bestFit="1" customWidth="1"/>
    <col min="31" max="31" width="12" bestFit="1" customWidth="1"/>
    <col min="33" max="33" width="10" bestFit="1" customWidth="1"/>
    <col min="36" max="36" width="11.7265625" customWidth="1"/>
    <col min="39" max="39" width="13.7265625" style="3" bestFit="1" customWidth="1"/>
    <col min="40" max="40" width="15.7265625" customWidth="1"/>
    <col min="41" max="41" width="25.26953125" customWidth="1"/>
    <col min="42" max="42" width="14" customWidth="1"/>
    <col min="43" max="43" width="19.54296875" customWidth="1"/>
    <col min="44" max="44" width="12.26953125" customWidth="1"/>
    <col min="45" max="45" width="10.54296875" bestFit="1" customWidth="1"/>
  </cols>
  <sheetData>
    <row r="1" spans="1:45" x14ac:dyDescent="0.35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174</v>
      </c>
      <c r="M1" t="s">
        <v>175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s="91" t="s">
        <v>74</v>
      </c>
      <c r="Z1" s="91" t="s">
        <v>75</v>
      </c>
      <c r="AA1" s="91" t="s">
        <v>76</v>
      </c>
      <c r="AB1" s="91" t="s">
        <v>77</v>
      </c>
      <c r="AC1" s="91" t="s">
        <v>78</v>
      </c>
      <c r="AD1" s="91" t="s">
        <v>79</v>
      </c>
      <c r="AE1" s="91" t="s">
        <v>80</v>
      </c>
      <c r="AF1" s="91" t="s">
        <v>81</v>
      </c>
      <c r="AG1" s="91" t="s">
        <v>82</v>
      </c>
      <c r="AH1" s="91" t="s">
        <v>83</v>
      </c>
      <c r="AI1" s="91" t="s">
        <v>84</v>
      </c>
      <c r="AJ1" s="91" t="s">
        <v>85</v>
      </c>
      <c r="AK1" s="91" t="s">
        <v>86</v>
      </c>
      <c r="AL1" s="91" t="s">
        <v>87</v>
      </c>
      <c r="AM1" s="94" t="s">
        <v>88</v>
      </c>
      <c r="AN1" s="91" t="s">
        <v>89</v>
      </c>
      <c r="AO1" s="91" t="s">
        <v>90</v>
      </c>
      <c r="AP1" s="91"/>
      <c r="AQ1" s="128" t="s">
        <v>91</v>
      </c>
      <c r="AR1" s="129">
        <f>$F$2</f>
        <v>46142</v>
      </c>
    </row>
    <row r="2" spans="1:45" x14ac:dyDescent="0.35">
      <c r="A2">
        <v>131709001</v>
      </c>
      <c r="B2">
        <v>80</v>
      </c>
      <c r="C2">
        <v>6206</v>
      </c>
      <c r="D2">
        <v>3563</v>
      </c>
      <c r="E2">
        <v>0</v>
      </c>
      <c r="F2" s="1">
        <v>46142</v>
      </c>
      <c r="G2" s="1">
        <v>46417</v>
      </c>
      <c r="H2" s="1">
        <v>46052</v>
      </c>
      <c r="I2">
        <v>365</v>
      </c>
      <c r="J2">
        <v>2</v>
      </c>
      <c r="K2" s="11">
        <v>73</v>
      </c>
      <c r="L2">
        <v>0</v>
      </c>
      <c r="M2">
        <v>0</v>
      </c>
      <c r="N2" t="s">
        <v>92</v>
      </c>
      <c r="O2" t="s">
        <v>93</v>
      </c>
      <c r="P2">
        <v>466</v>
      </c>
      <c r="Q2" s="1" t="s">
        <v>95</v>
      </c>
      <c r="R2" s="12">
        <v>46136</v>
      </c>
      <c r="S2" s="12">
        <v>0</v>
      </c>
      <c r="T2" s="12">
        <v>-22482.799999999999</v>
      </c>
      <c r="U2" s="12">
        <v>-16.28</v>
      </c>
      <c r="V2" s="12">
        <v>-22482.799999999999</v>
      </c>
      <c r="W2" s="12">
        <v>0</v>
      </c>
      <c r="X2">
        <v>224.83</v>
      </c>
      <c r="Y2" t="str">
        <f>TRIM(O2)</f>
        <v>Sit.Normal</v>
      </c>
      <c r="Z2">
        <f>IF(Y2="Sit.Normal",1,IF(Y2="Riesgo potencia",2,IF(Y2="Con Problemas",3,IF(Y2="Alto Riesgo",4,IF(Y2="Irrecuperable",5,IF(Y2="Irrec Disp Tecn",6,IF(Y2="Sin identificación",0,"")))))))</f>
        <v>1</v>
      </c>
      <c r="AB2">
        <f>VLOOKUP(A2,rubros_a_considerar!$A$2:$A$13,1,FALSE)</f>
        <v>131709001</v>
      </c>
      <c r="AC2" s="2">
        <f t="shared" ref="AC2:AC65" si="0">T2+W2</f>
        <v>-22482.799999999999</v>
      </c>
      <c r="AD2" s="4">
        <f>IF(Z2&lt;=1,Diccionario!$M$2,Diccionario!$M$3)</f>
        <v>1.4999999999999999E-2</v>
      </c>
      <c r="AE2" s="93">
        <f>1-(1-AD2)^(1/365)</f>
        <v>4.1406369609475746E-5</v>
      </c>
      <c r="AF2">
        <f>+IFERROR(G2-$AR$1,0)</f>
        <v>275</v>
      </c>
      <c r="AG2" s="5">
        <f>+IF(AF2&lt;=0,10*365,AF2)</f>
        <v>275</v>
      </c>
      <c r="AH2">
        <f>+IF(Z2&lt;=1,MIN(AG2,365),AG2)</f>
        <v>275</v>
      </c>
      <c r="AI2">
        <f>+(1-(AG2+1)*(1-AE2)^AG2+AG2*(1-AE2)^(AG2+1))/((1-(1-AE2)^AG2)*AE2)-0.5</f>
        <v>137.23905220314177</v>
      </c>
      <c r="AJ2" s="4">
        <f>+IF(Z2&lt;3,AD2,1)</f>
        <v>1.4999999999999999E-2</v>
      </c>
      <c r="AK2">
        <f>IF(Z2&lt;=3,Diccionario!$O$2,IF(Z2=4,Diccionario!$O$5,Diccionario!$O$6))</f>
        <v>0.66499985814979368</v>
      </c>
      <c r="AL2">
        <f>+IF(Z2&lt;=1,1,IF(Z2=2,2,3))</f>
        <v>1</v>
      </c>
      <c r="AM2" s="3">
        <f>+IF(AC2&lt;0,-AC2,0)</f>
        <v>22482.799999999999</v>
      </c>
      <c r="AN2" s="95">
        <f>MIN(AJ2*AK2*AM2*(1+'[2]Pesos escenarios'!$F$8/2),AM2)</f>
        <v>298.90621354169838</v>
      </c>
      <c r="AO2" t="str">
        <f>IFERROR(VLOOKUP(A2,Diccionario!$C$2:$E$65,3,FALSE),"no")</f>
        <v>ACC</v>
      </c>
    </row>
    <row r="3" spans="1:45" x14ac:dyDescent="0.35">
      <c r="A3">
        <v>131709001</v>
      </c>
      <c r="B3">
        <v>80</v>
      </c>
      <c r="C3">
        <v>85455</v>
      </c>
      <c r="D3">
        <v>3560</v>
      </c>
      <c r="E3">
        <v>0</v>
      </c>
      <c r="F3" s="1">
        <v>46142</v>
      </c>
      <c r="G3" s="1">
        <v>46302</v>
      </c>
      <c r="H3" s="1">
        <v>45937</v>
      </c>
      <c r="I3">
        <v>365</v>
      </c>
      <c r="J3">
        <v>2</v>
      </c>
      <c r="K3" s="11">
        <v>73</v>
      </c>
      <c r="L3">
        <v>0</v>
      </c>
      <c r="M3">
        <v>0</v>
      </c>
      <c r="N3" t="s">
        <v>92</v>
      </c>
      <c r="O3" t="s">
        <v>93</v>
      </c>
      <c r="P3">
        <v>620</v>
      </c>
      <c r="Q3" s="1" t="s">
        <v>95</v>
      </c>
      <c r="R3" s="12">
        <v>46142</v>
      </c>
      <c r="S3" s="12">
        <v>0</v>
      </c>
      <c r="T3" s="12">
        <v>-103456.1</v>
      </c>
      <c r="U3" s="12">
        <v>-74.91</v>
      </c>
      <c r="V3" s="12">
        <v>-103456.1</v>
      </c>
      <c r="W3" s="12">
        <v>0</v>
      </c>
      <c r="X3">
        <v>1034.56</v>
      </c>
      <c r="Y3" t="str">
        <f t="shared" ref="Y3:Y66" si="1">TRIM(O3)</f>
        <v>Sit.Normal</v>
      </c>
      <c r="Z3">
        <f t="shared" ref="Z3:Z33" si="2">IF(Y3="Sit.Normal",1,IF(Y3="Riesgo potencia",2,IF(Y3="Con Problemas",3,IF(Y3="Alto Riesgo",4,IF(Y3="Irrecuperable",5,IF(Y3="Irrec Disp Tecn",6,IF(Y3="Sin identificación",0,"")))))))</f>
        <v>1</v>
      </c>
      <c r="AB3">
        <f>VLOOKUP(A3,rubros_a_considerar!$A$2:$A$13,1,FALSE)</f>
        <v>131709001</v>
      </c>
      <c r="AC3" s="2">
        <f t="shared" si="0"/>
        <v>-103456.1</v>
      </c>
      <c r="AD3" s="4">
        <f>IF(Z3&lt;=1,Diccionario!$M$2,Diccionario!$M$3)</f>
        <v>1.4999999999999999E-2</v>
      </c>
      <c r="AE3" s="93">
        <f t="shared" ref="AE3:AE33" si="3">1-(1-AD3)^(1/365)</f>
        <v>4.1406369609475746E-5</v>
      </c>
      <c r="AF3">
        <f t="shared" ref="AF3:AF33" si="4">+IFERROR(G3-$AR$1,0)</f>
        <v>160</v>
      </c>
      <c r="AG3" s="5">
        <f t="shared" ref="AG3:AG33" si="5">+IF(AF3&lt;=0,10*365,AF3)</f>
        <v>160</v>
      </c>
      <c r="AH3">
        <f t="shared" ref="AH3:AH33" si="6">+IF(Z3&lt;=1,MIN(AG3,365),AG3)</f>
        <v>160</v>
      </c>
      <c r="AI3">
        <f t="shared" ref="AI3:AI33" si="7">+(1-(AG3+1)*(1-AE3)^AG3+AG3*(1-AE3)^(AG3+1))/((1-(1-AE3)^AG3)*AE3)-0.5</f>
        <v>79.911668080215819</v>
      </c>
      <c r="AJ3" s="4">
        <f t="shared" ref="AJ3:AJ33" si="8">+IF(Z3&lt;3,AD3,1)</f>
        <v>1.4999999999999999E-2</v>
      </c>
      <c r="AK3">
        <f>IF(Z3&lt;=3,Diccionario!$O$2,IF(Z3=4,Diccionario!$O$5,Diccionario!$O$6))</f>
        <v>0.66499985814979368</v>
      </c>
      <c r="AL3">
        <f t="shared" ref="AL3:AL33" si="9">+IF(Z3&lt;=1,1,IF(Z3=2,2,3))</f>
        <v>1</v>
      </c>
      <c r="AM3" s="3">
        <f t="shared" ref="AM3:AM66" si="10">+IF(AC3&lt;0,-AC3,0)</f>
        <v>103456.1</v>
      </c>
      <c r="AN3" s="95">
        <f>MIN(AJ3*AK3*AM3*(1+'[2]Pesos escenarios'!$F$8/2),AM3)</f>
        <v>1375.4368280993162</v>
      </c>
      <c r="AO3" t="str">
        <f>IFERROR(VLOOKUP(A3,Diccionario!$C$2:$E$65,3,FALSE),"no")</f>
        <v>ACC</v>
      </c>
    </row>
    <row r="4" spans="1:45" x14ac:dyDescent="0.35">
      <c r="A4">
        <v>131709001</v>
      </c>
      <c r="B4">
        <v>80</v>
      </c>
      <c r="C4">
        <v>59750</v>
      </c>
      <c r="D4">
        <v>3553</v>
      </c>
      <c r="E4">
        <v>0</v>
      </c>
      <c r="F4" s="1">
        <v>46142</v>
      </c>
      <c r="G4" s="1">
        <v>46235</v>
      </c>
      <c r="H4" s="1">
        <v>45870</v>
      </c>
      <c r="I4">
        <v>365</v>
      </c>
      <c r="J4">
        <v>2</v>
      </c>
      <c r="K4" s="11">
        <v>52</v>
      </c>
      <c r="L4">
        <v>0</v>
      </c>
      <c r="M4">
        <v>0</v>
      </c>
      <c r="N4" t="s">
        <v>92</v>
      </c>
      <c r="O4" t="s">
        <v>93</v>
      </c>
      <c r="P4">
        <v>103</v>
      </c>
      <c r="Q4" s="1" t="s">
        <v>95</v>
      </c>
      <c r="R4" s="12">
        <v>45797</v>
      </c>
      <c r="S4" s="12">
        <v>0</v>
      </c>
      <c r="T4" s="12">
        <v>-7347455.1500000004</v>
      </c>
      <c r="U4" s="12">
        <v>-5320.02</v>
      </c>
      <c r="V4" s="12">
        <v>-7347455.1500000004</v>
      </c>
      <c r="W4" s="12">
        <v>0</v>
      </c>
      <c r="X4" s="12">
        <v>73474.55</v>
      </c>
      <c r="Y4" t="str">
        <f t="shared" si="1"/>
        <v>Sit.Normal</v>
      </c>
      <c r="Z4">
        <f t="shared" si="2"/>
        <v>1</v>
      </c>
      <c r="AB4">
        <f>VLOOKUP(A4,rubros_a_considerar!$A$2:$A$13,1,FALSE)</f>
        <v>131709001</v>
      </c>
      <c r="AC4" s="2">
        <f t="shared" si="0"/>
        <v>-7347455.1500000004</v>
      </c>
      <c r="AD4" s="4">
        <f>IF(Z4&lt;=1,Diccionario!$M$2,Diccionario!$M$3)</f>
        <v>1.4999999999999999E-2</v>
      </c>
      <c r="AE4" s="93">
        <f t="shared" si="3"/>
        <v>4.1406369609475746E-5</v>
      </c>
      <c r="AF4">
        <f t="shared" si="4"/>
        <v>93</v>
      </c>
      <c r="AG4" s="5">
        <f t="shared" si="5"/>
        <v>93</v>
      </c>
      <c r="AH4">
        <f t="shared" si="6"/>
        <v>93</v>
      </c>
      <c r="AI4">
        <f t="shared" si="7"/>
        <v>46.470159197625165</v>
      </c>
      <c r="AJ4" s="4">
        <f t="shared" si="8"/>
        <v>1.4999999999999999E-2</v>
      </c>
      <c r="AK4">
        <f>IF(Z4&lt;=3,Diccionario!$O$2,IF(Z4=4,Diccionario!$O$5,Diccionario!$O$6))</f>
        <v>0.66499985814979368</v>
      </c>
      <c r="AL4">
        <f t="shared" si="9"/>
        <v>1</v>
      </c>
      <c r="AM4" s="3">
        <f>+IF(AC4&lt;0,-AC4,0)</f>
        <v>7347455.1500000004</v>
      </c>
      <c r="AN4" s="95">
        <f>MIN(AJ4*AK4*AM4*(1+'[2]Pesos escenarios'!$F$8/2),AM4)</f>
        <v>97683.562459033201</v>
      </c>
      <c r="AO4" t="str">
        <f>IFERROR(VLOOKUP(A4,Diccionario!$C$2:$E$65,3,FALSE),"no")</f>
        <v>ACC</v>
      </c>
    </row>
    <row r="5" spans="1:45" x14ac:dyDescent="0.35">
      <c r="A5">
        <v>141154001</v>
      </c>
      <c r="B5">
        <v>80</v>
      </c>
      <c r="C5">
        <v>86152</v>
      </c>
      <c r="D5">
        <v>42805</v>
      </c>
      <c r="E5">
        <v>0</v>
      </c>
      <c r="F5" s="1">
        <v>46142</v>
      </c>
      <c r="G5" s="1" t="s">
        <v>96</v>
      </c>
      <c r="H5" s="1">
        <v>46142</v>
      </c>
      <c r="I5">
        <v>0</v>
      </c>
      <c r="J5">
        <v>0</v>
      </c>
      <c r="K5" s="11">
        <v>0</v>
      </c>
      <c r="L5">
        <v>0</v>
      </c>
      <c r="M5">
        <v>0</v>
      </c>
      <c r="N5" t="s">
        <v>92</v>
      </c>
      <c r="O5" t="s">
        <v>93</v>
      </c>
      <c r="P5">
        <v>999</v>
      </c>
      <c r="Q5" s="1" t="s">
        <v>94</v>
      </c>
      <c r="R5" s="12">
        <v>46142</v>
      </c>
      <c r="S5" s="12">
        <v>0</v>
      </c>
      <c r="T5" s="12">
        <v>-707.32</v>
      </c>
      <c r="U5" s="12">
        <v>-0.51</v>
      </c>
      <c r="V5" s="12">
        <v>-707.32</v>
      </c>
      <c r="W5" s="12">
        <v>0</v>
      </c>
      <c r="X5" s="12">
        <v>7.07</v>
      </c>
      <c r="Y5" t="str">
        <f t="shared" si="1"/>
        <v>Sit.Normal</v>
      </c>
      <c r="Z5">
        <f t="shared" si="2"/>
        <v>1</v>
      </c>
      <c r="AB5">
        <f>VLOOKUP(A5,rubros_a_considerar!$A$2:$A$13,1,FALSE)</f>
        <v>141154001</v>
      </c>
      <c r="AC5" s="2">
        <f t="shared" si="0"/>
        <v>-707.32</v>
      </c>
      <c r="AD5" s="4">
        <f>IF(Z5&lt;=1,Diccionario!$M$2,Diccionario!$M$3)</f>
        <v>1.4999999999999999E-2</v>
      </c>
      <c r="AE5" s="93">
        <f t="shared" si="3"/>
        <v>4.1406369609475746E-5</v>
      </c>
      <c r="AF5">
        <f t="shared" si="4"/>
        <v>0</v>
      </c>
      <c r="AG5" s="5">
        <f t="shared" si="5"/>
        <v>3650</v>
      </c>
      <c r="AH5">
        <f t="shared" si="6"/>
        <v>365</v>
      </c>
      <c r="AI5">
        <f t="shared" si="7"/>
        <v>1779.0468468185993</v>
      </c>
      <c r="AJ5" s="4">
        <f t="shared" si="8"/>
        <v>1.4999999999999999E-2</v>
      </c>
      <c r="AK5">
        <f>IF(Z5&lt;=3,Diccionario!$O$2,IF(Z5=4,Diccionario!$O$5,Diccionario!$O$6))</f>
        <v>0.66499985814979368</v>
      </c>
      <c r="AL5">
        <f t="shared" si="9"/>
        <v>1</v>
      </c>
      <c r="AM5" s="3">
        <f t="shared" si="10"/>
        <v>707.32</v>
      </c>
      <c r="AN5" s="95">
        <f>MIN(AJ5*AK5*AM5*(1+'[2]Pesos escenarios'!$F$8/2),AM5)</f>
        <v>9.4037372107706378</v>
      </c>
      <c r="AO5" t="str">
        <f>IFERROR(VLOOKUP(A5,Diccionario!$C$2:$E$65,3,FALSE),"no")</f>
        <v>IVA Debito Fiscal no Cobrados</v>
      </c>
    </row>
    <row r="6" spans="1:45" x14ac:dyDescent="0.35">
      <c r="A6">
        <v>141154001</v>
      </c>
      <c r="B6">
        <v>80</v>
      </c>
      <c r="C6">
        <v>86563</v>
      </c>
      <c r="D6">
        <v>42806</v>
      </c>
      <c r="E6">
        <v>0</v>
      </c>
      <c r="F6" s="1">
        <v>46142</v>
      </c>
      <c r="G6" s="1" t="s">
        <v>96</v>
      </c>
      <c r="H6" s="1">
        <v>46142</v>
      </c>
      <c r="I6">
        <v>0</v>
      </c>
      <c r="J6">
        <v>0</v>
      </c>
      <c r="K6" s="11">
        <v>0</v>
      </c>
      <c r="L6">
        <v>0</v>
      </c>
      <c r="M6">
        <v>0</v>
      </c>
      <c r="N6" t="s">
        <v>92</v>
      </c>
      <c r="O6" t="s">
        <v>93</v>
      </c>
      <c r="P6">
        <v>999</v>
      </c>
      <c r="Q6" s="1" t="s">
        <v>94</v>
      </c>
      <c r="R6" s="12">
        <v>46142</v>
      </c>
      <c r="S6" s="12">
        <v>0</v>
      </c>
      <c r="T6" s="12">
        <v>-1108.73</v>
      </c>
      <c r="U6" s="12">
        <v>-0.8</v>
      </c>
      <c r="V6" s="12">
        <v>-1108.73</v>
      </c>
      <c r="W6" s="12">
        <v>0</v>
      </c>
      <c r="X6" s="12">
        <v>11.09</v>
      </c>
      <c r="Y6" t="str">
        <f t="shared" si="1"/>
        <v>Sit.Normal</v>
      </c>
      <c r="Z6">
        <f t="shared" si="2"/>
        <v>1</v>
      </c>
      <c r="AB6">
        <f>VLOOKUP(A6,rubros_a_considerar!$A$2:$A$13,1,FALSE)</f>
        <v>141154001</v>
      </c>
      <c r="AC6" s="2">
        <f t="shared" si="0"/>
        <v>-1108.73</v>
      </c>
      <c r="AD6" s="4">
        <f>IF(Z6&lt;=1,Diccionario!$M$2,Diccionario!$M$3)</f>
        <v>1.4999999999999999E-2</v>
      </c>
      <c r="AE6" s="93">
        <f t="shared" si="3"/>
        <v>4.1406369609475746E-5</v>
      </c>
      <c r="AF6">
        <f t="shared" si="4"/>
        <v>0</v>
      </c>
      <c r="AG6" s="5">
        <f t="shared" si="5"/>
        <v>3650</v>
      </c>
      <c r="AH6">
        <f t="shared" si="6"/>
        <v>365</v>
      </c>
      <c r="AI6">
        <f t="shared" si="7"/>
        <v>1779.0468468185993</v>
      </c>
      <c r="AJ6" s="4">
        <f t="shared" si="8"/>
        <v>1.4999999999999999E-2</v>
      </c>
      <c r="AK6">
        <f>IF(Z6&lt;=3,Diccionario!$O$2,IF(Z6=4,Diccionario!$O$5,Diccionario!$O$6))</f>
        <v>0.66499985814979368</v>
      </c>
      <c r="AL6">
        <f t="shared" si="9"/>
        <v>1</v>
      </c>
      <c r="AM6" s="3">
        <f t="shared" si="10"/>
        <v>1108.73</v>
      </c>
      <c r="AN6" s="95">
        <f>MIN(AJ6*AK6*AM6*(1+'[2]Pesos escenarios'!$F$8/2),AM6)</f>
        <v>14.740436517697406</v>
      </c>
      <c r="AO6" t="str">
        <f>IFERROR(VLOOKUP(A6,Diccionario!$C$2:$E$65,3,FALSE),"no")</f>
        <v>IVA Debito Fiscal no Cobrados</v>
      </c>
    </row>
    <row r="7" spans="1:45" x14ac:dyDescent="0.35">
      <c r="A7">
        <v>141154001</v>
      </c>
      <c r="B7">
        <v>80</v>
      </c>
      <c r="C7">
        <v>57649</v>
      </c>
      <c r="D7">
        <v>42906</v>
      </c>
      <c r="E7">
        <v>0</v>
      </c>
      <c r="F7" s="1">
        <v>46142</v>
      </c>
      <c r="G7" s="1" t="s">
        <v>96</v>
      </c>
      <c r="H7" s="1">
        <v>46142</v>
      </c>
      <c r="I7">
        <v>0</v>
      </c>
      <c r="J7">
        <v>0</v>
      </c>
      <c r="K7" s="11">
        <v>0</v>
      </c>
      <c r="L7">
        <v>0</v>
      </c>
      <c r="M7">
        <v>0</v>
      </c>
      <c r="N7" t="s">
        <v>92</v>
      </c>
      <c r="O7" t="s">
        <v>93</v>
      </c>
      <c r="P7">
        <v>999</v>
      </c>
      <c r="Q7" s="1" t="s">
        <v>94</v>
      </c>
      <c r="R7" s="12">
        <v>46142</v>
      </c>
      <c r="S7" s="12">
        <v>0</v>
      </c>
      <c r="T7" s="12">
        <v>-2625.33</v>
      </c>
      <c r="U7" s="12">
        <v>-1.9</v>
      </c>
      <c r="V7" s="12">
        <v>-2625.33</v>
      </c>
      <c r="W7" s="12">
        <v>0</v>
      </c>
      <c r="X7" s="12">
        <v>26.25</v>
      </c>
      <c r="Y7" t="str">
        <f t="shared" si="1"/>
        <v>Sit.Normal</v>
      </c>
      <c r="Z7">
        <f t="shared" si="2"/>
        <v>1</v>
      </c>
      <c r="AB7">
        <f>VLOOKUP(A7,rubros_a_considerar!$A$2:$A$13,1,FALSE)</f>
        <v>141154001</v>
      </c>
      <c r="AC7" s="2">
        <f t="shared" si="0"/>
        <v>-2625.33</v>
      </c>
      <c r="AD7" s="4">
        <f>IF(Z7&lt;=1,Diccionario!$M$2,Diccionario!$M$3)</f>
        <v>1.4999999999999999E-2</v>
      </c>
      <c r="AE7" s="93">
        <f t="shared" si="3"/>
        <v>4.1406369609475746E-5</v>
      </c>
      <c r="AF7">
        <f t="shared" si="4"/>
        <v>0</v>
      </c>
      <c r="AG7" s="5">
        <f t="shared" si="5"/>
        <v>3650</v>
      </c>
      <c r="AH7">
        <f t="shared" si="6"/>
        <v>365</v>
      </c>
      <c r="AI7">
        <f t="shared" si="7"/>
        <v>1779.0468468185993</v>
      </c>
      <c r="AJ7" s="4">
        <f t="shared" si="8"/>
        <v>1.4999999999999999E-2</v>
      </c>
      <c r="AK7">
        <f>IF(Z7&lt;=3,Diccionario!$O$2,IF(Z7=4,Diccionario!$O$5,Diccionario!$O$6))</f>
        <v>0.66499985814979368</v>
      </c>
      <c r="AL7">
        <f t="shared" si="9"/>
        <v>1</v>
      </c>
      <c r="AM7" s="3">
        <f t="shared" si="10"/>
        <v>2625.33</v>
      </c>
      <c r="AN7" s="95">
        <f>MIN(AJ7*AK7*AM7*(1+'[2]Pesos escenarios'!$F$8/2),AM7)</f>
        <v>34.903457291681953</v>
      </c>
      <c r="AO7" t="str">
        <f>IFERROR(VLOOKUP(A7,Diccionario!$C$2:$E$65,3,FALSE),"no")</f>
        <v>IVA Debito Fiscal no Cobrados</v>
      </c>
    </row>
    <row r="8" spans="1:45" x14ac:dyDescent="0.35">
      <c r="A8">
        <v>141154001</v>
      </c>
      <c r="B8">
        <v>80</v>
      </c>
      <c r="C8">
        <v>56956</v>
      </c>
      <c r="D8">
        <v>42856</v>
      </c>
      <c r="E8">
        <v>0</v>
      </c>
      <c r="F8" s="1">
        <v>46142</v>
      </c>
      <c r="G8" s="1" t="s">
        <v>96</v>
      </c>
      <c r="H8" s="1">
        <v>46142</v>
      </c>
      <c r="I8">
        <v>0</v>
      </c>
      <c r="J8">
        <v>0</v>
      </c>
      <c r="K8" s="11">
        <v>0</v>
      </c>
      <c r="L8">
        <v>0</v>
      </c>
      <c r="M8">
        <v>0</v>
      </c>
      <c r="N8" t="s">
        <v>92</v>
      </c>
      <c r="O8" t="s">
        <v>93</v>
      </c>
      <c r="P8">
        <v>999</v>
      </c>
      <c r="Q8" s="1" t="s">
        <v>94</v>
      </c>
      <c r="R8" s="12">
        <v>46142</v>
      </c>
      <c r="S8" s="12">
        <v>0</v>
      </c>
      <c r="T8" s="12">
        <v>-2691.65</v>
      </c>
      <c r="U8" s="12">
        <v>-1.95</v>
      </c>
      <c r="V8" s="12">
        <v>-2691.65</v>
      </c>
      <c r="W8" s="12">
        <v>0</v>
      </c>
      <c r="X8" s="12">
        <v>26.92</v>
      </c>
      <c r="Y8" t="str">
        <f t="shared" si="1"/>
        <v>Sit.Normal</v>
      </c>
      <c r="Z8">
        <f t="shared" si="2"/>
        <v>1</v>
      </c>
      <c r="AB8">
        <f>VLOOKUP(A8,rubros_a_considerar!$A$2:$A$13,1,FALSE)</f>
        <v>141154001</v>
      </c>
      <c r="AC8" s="2">
        <f t="shared" si="0"/>
        <v>-2691.65</v>
      </c>
      <c r="AD8" s="4">
        <f>IF(Z8&lt;=1,Diccionario!$M$2,Diccionario!$M$3)</f>
        <v>1.4999999999999999E-2</v>
      </c>
      <c r="AE8" s="93">
        <f t="shared" si="3"/>
        <v>4.1406369609475746E-5</v>
      </c>
      <c r="AF8">
        <f t="shared" si="4"/>
        <v>0</v>
      </c>
      <c r="AG8" s="5">
        <f t="shared" si="5"/>
        <v>3650</v>
      </c>
      <c r="AH8">
        <f t="shared" si="6"/>
        <v>365</v>
      </c>
      <c r="AI8">
        <f t="shared" si="7"/>
        <v>1779.0468468185993</v>
      </c>
      <c r="AJ8" s="4">
        <f t="shared" si="8"/>
        <v>1.4999999999999999E-2</v>
      </c>
      <c r="AK8">
        <f>IF(Z8&lt;=3,Diccionario!$O$2,IF(Z8=4,Diccionario!$O$5,Diccionario!$O$6))</f>
        <v>0.66499985814979368</v>
      </c>
      <c r="AL8">
        <f t="shared" si="9"/>
        <v>1</v>
      </c>
      <c r="AM8" s="3">
        <f t="shared" si="10"/>
        <v>2691.65</v>
      </c>
      <c r="AN8" s="95">
        <f>MIN(AJ8*AK8*AM8*(1+'[2]Pesos escenarios'!$F$8/2),AM8)</f>
        <v>35.785173985424969</v>
      </c>
      <c r="AO8" t="str">
        <f>IFERROR(VLOOKUP(A8,Diccionario!$C$2:$E$65,3,FALSE),"no")</f>
        <v>IVA Debito Fiscal no Cobrados</v>
      </c>
    </row>
    <row r="9" spans="1:45" x14ac:dyDescent="0.35">
      <c r="A9">
        <v>141154001</v>
      </c>
      <c r="B9">
        <v>80</v>
      </c>
      <c r="C9">
        <v>57332</v>
      </c>
      <c r="D9">
        <v>42861</v>
      </c>
      <c r="E9">
        <v>0</v>
      </c>
      <c r="F9" s="1">
        <v>46142</v>
      </c>
      <c r="G9" s="1" t="s">
        <v>96</v>
      </c>
      <c r="H9" s="1">
        <v>46142</v>
      </c>
      <c r="I9">
        <v>0</v>
      </c>
      <c r="J9">
        <v>0</v>
      </c>
      <c r="K9" s="11">
        <v>0</v>
      </c>
      <c r="L9">
        <v>0</v>
      </c>
      <c r="M9">
        <v>0</v>
      </c>
      <c r="N9" t="s">
        <v>92</v>
      </c>
      <c r="O9" t="s">
        <v>93</v>
      </c>
      <c r="P9">
        <v>999</v>
      </c>
      <c r="Q9" s="1" t="s">
        <v>94</v>
      </c>
      <c r="R9" s="12">
        <v>46142</v>
      </c>
      <c r="S9" s="12">
        <v>0</v>
      </c>
      <c r="T9" s="12">
        <v>-3217.07</v>
      </c>
      <c r="U9" s="12">
        <v>-2.33</v>
      </c>
      <c r="V9" s="12">
        <v>-3217.07</v>
      </c>
      <c r="W9" s="12">
        <v>0</v>
      </c>
      <c r="X9" s="12">
        <v>32.17</v>
      </c>
      <c r="Y9" t="str">
        <f t="shared" si="1"/>
        <v>Sit.Normal</v>
      </c>
      <c r="Z9">
        <f t="shared" si="2"/>
        <v>1</v>
      </c>
      <c r="AB9">
        <f>VLOOKUP(A9,rubros_a_considerar!$A$2:$A$13,1,FALSE)</f>
        <v>141154001</v>
      </c>
      <c r="AC9" s="2">
        <f t="shared" si="0"/>
        <v>-3217.07</v>
      </c>
      <c r="AD9" s="4">
        <f>IF(Z9&lt;=1,Diccionario!$M$2,Diccionario!$M$3)</f>
        <v>1.4999999999999999E-2</v>
      </c>
      <c r="AE9" s="93">
        <f t="shared" si="3"/>
        <v>4.1406369609475746E-5</v>
      </c>
      <c r="AF9">
        <f t="shared" si="4"/>
        <v>0</v>
      </c>
      <c r="AG9" s="5">
        <f t="shared" si="5"/>
        <v>3650</v>
      </c>
      <c r="AH9">
        <f t="shared" si="6"/>
        <v>365</v>
      </c>
      <c r="AI9">
        <f t="shared" si="7"/>
        <v>1779.0468468185993</v>
      </c>
      <c r="AJ9" s="4">
        <f t="shared" si="8"/>
        <v>1.4999999999999999E-2</v>
      </c>
      <c r="AK9">
        <f>IF(Z9&lt;=3,Diccionario!$O$2,IF(Z9=4,Diccionario!$O$5,Diccionario!$O$6))</f>
        <v>0.66499985814979368</v>
      </c>
      <c r="AL9">
        <f t="shared" si="9"/>
        <v>1</v>
      </c>
      <c r="AM9" s="3">
        <f t="shared" si="10"/>
        <v>3217.07</v>
      </c>
      <c r="AN9" s="95">
        <f>MIN(AJ9*AK9*AM9*(1+'[2]Pesos escenarios'!$F$8/2),AM9)</f>
        <v>42.770571832627233</v>
      </c>
      <c r="AO9" t="str">
        <f>IFERROR(VLOOKUP(A9,Diccionario!$C$2:$E$65,3,FALSE),"no")</f>
        <v>IVA Debito Fiscal no Cobrados</v>
      </c>
    </row>
    <row r="10" spans="1:45" x14ac:dyDescent="0.35">
      <c r="A10">
        <v>141154001</v>
      </c>
      <c r="B10">
        <v>80</v>
      </c>
      <c r="C10">
        <v>55476</v>
      </c>
      <c r="D10">
        <v>42932</v>
      </c>
      <c r="E10">
        <v>0</v>
      </c>
      <c r="F10" s="1">
        <v>46142</v>
      </c>
      <c r="G10" s="1" t="s">
        <v>96</v>
      </c>
      <c r="H10" s="1">
        <v>46142</v>
      </c>
      <c r="I10">
        <v>0</v>
      </c>
      <c r="J10">
        <v>0</v>
      </c>
      <c r="K10" s="11">
        <v>0</v>
      </c>
      <c r="L10">
        <v>0</v>
      </c>
      <c r="M10">
        <v>0</v>
      </c>
      <c r="N10" t="s">
        <v>92</v>
      </c>
      <c r="O10" t="s">
        <v>93</v>
      </c>
      <c r="P10">
        <v>999</v>
      </c>
      <c r="Q10" s="1" t="s">
        <v>94</v>
      </c>
      <c r="R10" s="12">
        <v>46142</v>
      </c>
      <c r="S10" s="12">
        <v>0</v>
      </c>
      <c r="T10" s="12">
        <v>-3428.21</v>
      </c>
      <c r="U10" s="12">
        <v>-2.48</v>
      </c>
      <c r="V10" s="12">
        <v>-3428.21</v>
      </c>
      <c r="W10" s="12">
        <v>0</v>
      </c>
      <c r="X10" s="12">
        <v>34.28</v>
      </c>
      <c r="Y10" t="str">
        <f t="shared" si="1"/>
        <v>Sit.Normal</v>
      </c>
      <c r="Z10">
        <f t="shared" si="2"/>
        <v>1</v>
      </c>
      <c r="AB10">
        <f>VLOOKUP(A10,rubros_a_considerar!$A$2:$A$13,1,FALSE)</f>
        <v>141154001</v>
      </c>
      <c r="AC10" s="2">
        <f t="shared" si="0"/>
        <v>-3428.21</v>
      </c>
      <c r="AD10" s="4">
        <f>IF(Z10&lt;=1,Diccionario!$M$2,Diccionario!$M$3)</f>
        <v>1.4999999999999999E-2</v>
      </c>
      <c r="AE10" s="93">
        <f t="shared" si="3"/>
        <v>4.1406369609475746E-5</v>
      </c>
      <c r="AF10">
        <f t="shared" si="4"/>
        <v>0</v>
      </c>
      <c r="AG10" s="5">
        <f t="shared" si="5"/>
        <v>3650</v>
      </c>
      <c r="AH10">
        <f t="shared" si="6"/>
        <v>365</v>
      </c>
      <c r="AI10">
        <f t="shared" si="7"/>
        <v>1779.0468468185993</v>
      </c>
      <c r="AJ10" s="4">
        <f t="shared" si="8"/>
        <v>1.4999999999999999E-2</v>
      </c>
      <c r="AK10">
        <f>IF(Z10&lt;=3,Diccionario!$O$2,IF(Z10=4,Diccionario!$O$5,Diccionario!$O$6))</f>
        <v>0.66499985814979368</v>
      </c>
      <c r="AL10">
        <f t="shared" si="9"/>
        <v>1</v>
      </c>
      <c r="AM10" s="3">
        <f t="shared" si="10"/>
        <v>3428.21</v>
      </c>
      <c r="AN10" s="95">
        <f>MIN(AJ10*AK10*AM10*(1+'[2]Pesos escenarios'!$F$8/2),AM10)</f>
        <v>45.5776535985636</v>
      </c>
      <c r="AO10" t="str">
        <f>IFERROR(VLOOKUP(A10,Diccionario!$C$2:$E$65,3,FALSE),"no")</f>
        <v>IVA Debito Fiscal no Cobrados</v>
      </c>
    </row>
    <row r="11" spans="1:45" x14ac:dyDescent="0.35">
      <c r="A11">
        <v>141154001</v>
      </c>
      <c r="B11">
        <v>80</v>
      </c>
      <c r="C11">
        <v>83381</v>
      </c>
      <c r="D11">
        <v>42930</v>
      </c>
      <c r="E11">
        <v>0</v>
      </c>
      <c r="F11" s="1">
        <v>46142</v>
      </c>
      <c r="G11" s="1" t="s">
        <v>96</v>
      </c>
      <c r="H11" s="1">
        <v>46142</v>
      </c>
      <c r="I11">
        <v>0</v>
      </c>
      <c r="J11">
        <v>0</v>
      </c>
      <c r="K11" s="11">
        <v>0</v>
      </c>
      <c r="L11">
        <v>0</v>
      </c>
      <c r="M11">
        <v>0</v>
      </c>
      <c r="N11" t="s">
        <v>92</v>
      </c>
      <c r="O11" t="s">
        <v>93</v>
      </c>
      <c r="P11">
        <v>999</v>
      </c>
      <c r="Q11" s="1" t="s">
        <v>94</v>
      </c>
      <c r="R11" s="12">
        <v>46142</v>
      </c>
      <c r="S11" s="12">
        <v>0</v>
      </c>
      <c r="T11" s="12">
        <v>-3656.76</v>
      </c>
      <c r="U11" s="12">
        <v>-2.65</v>
      </c>
      <c r="V11" s="12">
        <v>-3656.76</v>
      </c>
      <c r="W11" s="12">
        <v>0</v>
      </c>
      <c r="X11" s="12">
        <v>36.57</v>
      </c>
      <c r="Y11" t="str">
        <f t="shared" si="1"/>
        <v>Sit.Normal</v>
      </c>
      <c r="Z11">
        <f t="shared" si="2"/>
        <v>1</v>
      </c>
      <c r="AB11">
        <f>VLOOKUP(A11,rubros_a_considerar!$A$2:$A$13,1,FALSE)</f>
        <v>141154001</v>
      </c>
      <c r="AC11" s="2">
        <f t="shared" si="0"/>
        <v>-3656.76</v>
      </c>
      <c r="AD11" s="4">
        <f>IF(Z11&lt;=1,Diccionario!$M$2,Diccionario!$M$3)</f>
        <v>1.4999999999999999E-2</v>
      </c>
      <c r="AE11" s="93">
        <f t="shared" si="3"/>
        <v>4.1406369609475746E-5</v>
      </c>
      <c r="AF11">
        <f t="shared" si="4"/>
        <v>0</v>
      </c>
      <c r="AG11" s="5">
        <f t="shared" si="5"/>
        <v>3650</v>
      </c>
      <c r="AH11">
        <f t="shared" si="6"/>
        <v>365</v>
      </c>
      <c r="AI11">
        <f t="shared" si="7"/>
        <v>1779.0468468185993</v>
      </c>
      <c r="AJ11" s="4">
        <f t="shared" si="8"/>
        <v>1.4999999999999999E-2</v>
      </c>
      <c r="AK11">
        <f>IF(Z11&lt;=3,Diccionario!$O$2,IF(Z11=4,Diccionario!$O$5,Diccionario!$O$6))</f>
        <v>0.66499985814979368</v>
      </c>
      <c r="AL11">
        <f t="shared" si="9"/>
        <v>1</v>
      </c>
      <c r="AM11" s="3">
        <f t="shared" si="10"/>
        <v>3656.76</v>
      </c>
      <c r="AN11" s="95">
        <f>MIN(AJ11*AK11*AM11*(1+'[2]Pesos escenarios'!$F$8/2),AM11)</f>
        <v>48.616199291491327</v>
      </c>
      <c r="AO11" t="str">
        <f>IFERROR(VLOOKUP(A11,Diccionario!$C$2:$E$65,3,FALSE),"no")</f>
        <v>IVA Debito Fiscal no Cobrados</v>
      </c>
    </row>
    <row r="12" spans="1:45" x14ac:dyDescent="0.35">
      <c r="A12">
        <v>141154001</v>
      </c>
      <c r="B12">
        <v>80</v>
      </c>
      <c r="C12">
        <v>86245</v>
      </c>
      <c r="D12">
        <v>42921</v>
      </c>
      <c r="E12">
        <v>0</v>
      </c>
      <c r="F12" s="1">
        <v>46142</v>
      </c>
      <c r="G12" s="1" t="s">
        <v>96</v>
      </c>
      <c r="H12" s="1">
        <v>46142</v>
      </c>
      <c r="I12">
        <v>0</v>
      </c>
      <c r="J12">
        <v>0</v>
      </c>
      <c r="K12" s="11">
        <v>0</v>
      </c>
      <c r="L12">
        <v>0</v>
      </c>
      <c r="M12">
        <v>0</v>
      </c>
      <c r="N12" t="s">
        <v>92</v>
      </c>
      <c r="O12" t="s">
        <v>93</v>
      </c>
      <c r="P12">
        <v>999</v>
      </c>
      <c r="Q12" s="1" t="s">
        <v>94</v>
      </c>
      <c r="R12" s="12">
        <v>46142</v>
      </c>
      <c r="S12" s="12">
        <v>0</v>
      </c>
      <c r="T12" s="12">
        <v>-4976.63</v>
      </c>
      <c r="U12" s="12">
        <v>-3.6</v>
      </c>
      <c r="V12" s="12">
        <v>-4976.63</v>
      </c>
      <c r="W12" s="12">
        <v>0</v>
      </c>
      <c r="X12" s="12">
        <v>49.77</v>
      </c>
      <c r="Y12" t="str">
        <f t="shared" si="1"/>
        <v>Sit.Normal</v>
      </c>
      <c r="Z12">
        <f t="shared" si="2"/>
        <v>1</v>
      </c>
      <c r="AB12">
        <f>VLOOKUP(A12,rubros_a_considerar!$A$2:$A$13,1,FALSE)</f>
        <v>141154001</v>
      </c>
      <c r="AC12" s="2">
        <f t="shared" si="0"/>
        <v>-4976.63</v>
      </c>
      <c r="AD12" s="4">
        <f>IF(Z12&lt;=1,Diccionario!$M$2,Diccionario!$M$3)</f>
        <v>1.4999999999999999E-2</v>
      </c>
      <c r="AE12" s="93">
        <f t="shared" si="3"/>
        <v>4.1406369609475746E-5</v>
      </c>
      <c r="AF12">
        <f t="shared" si="4"/>
        <v>0</v>
      </c>
      <c r="AG12" s="5">
        <f t="shared" si="5"/>
        <v>3650</v>
      </c>
      <c r="AH12">
        <f t="shared" si="6"/>
        <v>365</v>
      </c>
      <c r="AI12">
        <f t="shared" si="7"/>
        <v>1779.0468468185993</v>
      </c>
      <c r="AJ12" s="4">
        <f t="shared" si="8"/>
        <v>1.4999999999999999E-2</v>
      </c>
      <c r="AK12">
        <f>IF(Z12&lt;=3,Diccionario!$O$2,IF(Z12=4,Diccionario!$O$5,Diccionario!$O$6))</f>
        <v>0.66499985814979368</v>
      </c>
      <c r="AL12">
        <f t="shared" si="9"/>
        <v>1</v>
      </c>
      <c r="AM12" s="3">
        <f t="shared" si="10"/>
        <v>4976.63</v>
      </c>
      <c r="AN12" s="95">
        <f>MIN(AJ12*AK12*AM12*(1+'[2]Pesos escenarios'!$F$8/2),AM12)</f>
        <v>66.163717575125105</v>
      </c>
      <c r="AO12" t="str">
        <f>IFERROR(VLOOKUP(A12,Diccionario!$C$2:$E$65,3,FALSE),"no")</f>
        <v>IVA Debito Fiscal no Cobrados</v>
      </c>
    </row>
    <row r="13" spans="1:45" x14ac:dyDescent="0.35">
      <c r="A13">
        <v>141154001</v>
      </c>
      <c r="B13">
        <v>80</v>
      </c>
      <c r="C13">
        <v>86807</v>
      </c>
      <c r="D13">
        <v>42880</v>
      </c>
      <c r="E13">
        <v>0</v>
      </c>
      <c r="F13" s="1">
        <v>46142</v>
      </c>
      <c r="G13" s="1" t="s">
        <v>96</v>
      </c>
      <c r="H13" s="1">
        <v>46142</v>
      </c>
      <c r="I13">
        <v>0</v>
      </c>
      <c r="J13">
        <v>0</v>
      </c>
      <c r="K13" s="11">
        <v>0</v>
      </c>
      <c r="L13">
        <v>0</v>
      </c>
      <c r="M13">
        <v>0</v>
      </c>
      <c r="N13" t="s">
        <v>92</v>
      </c>
      <c r="O13" t="s">
        <v>93</v>
      </c>
      <c r="P13">
        <v>999</v>
      </c>
      <c r="Q13" s="1" t="s">
        <v>94</v>
      </c>
      <c r="R13" s="12">
        <v>46142</v>
      </c>
      <c r="S13" s="12">
        <v>0</v>
      </c>
      <c r="T13" s="12">
        <v>-6306.34</v>
      </c>
      <c r="U13" s="12">
        <v>-4.57</v>
      </c>
      <c r="V13" s="12">
        <v>-6306.34</v>
      </c>
      <c r="W13" s="12">
        <v>0</v>
      </c>
      <c r="X13" s="12">
        <v>63.06</v>
      </c>
      <c r="Y13" t="str">
        <f t="shared" si="1"/>
        <v>Sit.Normal</v>
      </c>
      <c r="Z13">
        <f t="shared" si="2"/>
        <v>1</v>
      </c>
      <c r="AB13">
        <f>VLOOKUP(A13,rubros_a_considerar!$A$2:$A$13,1,FALSE)</f>
        <v>141154001</v>
      </c>
      <c r="AC13" s="2">
        <f t="shared" si="0"/>
        <v>-6306.34</v>
      </c>
      <c r="AD13" s="4">
        <f>IF(Z13&lt;=1,Diccionario!$M$2,Diccionario!$M$3)</f>
        <v>1.4999999999999999E-2</v>
      </c>
      <c r="AE13" s="93">
        <f t="shared" si="3"/>
        <v>4.1406369609475746E-5</v>
      </c>
      <c r="AF13">
        <f t="shared" si="4"/>
        <v>0</v>
      </c>
      <c r="AG13" s="5">
        <f t="shared" si="5"/>
        <v>3650</v>
      </c>
      <c r="AH13">
        <f t="shared" si="6"/>
        <v>365</v>
      </c>
      <c r="AI13">
        <f t="shared" si="7"/>
        <v>1779.0468468185993</v>
      </c>
      <c r="AJ13" s="4">
        <f t="shared" si="8"/>
        <v>1.4999999999999999E-2</v>
      </c>
      <c r="AK13">
        <f>IF(Z13&lt;=3,Diccionario!$O$2,IF(Z13=4,Diccionario!$O$5,Diccionario!$O$6))</f>
        <v>0.66499985814979368</v>
      </c>
      <c r="AL13">
        <f t="shared" si="9"/>
        <v>1</v>
      </c>
      <c r="AM13" s="3">
        <f t="shared" si="10"/>
        <v>6306.34</v>
      </c>
      <c r="AN13" s="95">
        <f>MIN(AJ13*AK13*AM13*(1+'[2]Pesos escenarios'!$F$8/2),AM13)</f>
        <v>83.842057515369717</v>
      </c>
      <c r="AO13" t="str">
        <f>IFERROR(VLOOKUP(A13,Diccionario!$C$2:$E$65,3,FALSE),"no")</f>
        <v>IVA Debito Fiscal no Cobrados</v>
      </c>
    </row>
    <row r="14" spans="1:45" x14ac:dyDescent="0.35">
      <c r="A14">
        <v>141154001</v>
      </c>
      <c r="B14">
        <v>80</v>
      </c>
      <c r="C14">
        <v>84457</v>
      </c>
      <c r="D14">
        <v>42922</v>
      </c>
      <c r="E14">
        <v>0</v>
      </c>
      <c r="F14" s="1">
        <v>46142</v>
      </c>
      <c r="G14" s="1" t="s">
        <v>96</v>
      </c>
      <c r="H14" s="1">
        <v>46142</v>
      </c>
      <c r="I14">
        <v>0</v>
      </c>
      <c r="J14">
        <v>0</v>
      </c>
      <c r="K14" s="11">
        <v>0</v>
      </c>
      <c r="L14">
        <v>0</v>
      </c>
      <c r="M14">
        <v>0</v>
      </c>
      <c r="N14" t="s">
        <v>92</v>
      </c>
      <c r="O14" t="s">
        <v>93</v>
      </c>
      <c r="P14">
        <v>999</v>
      </c>
      <c r="Q14" s="1" t="s">
        <v>94</v>
      </c>
      <c r="R14" s="12">
        <v>46142</v>
      </c>
      <c r="S14" s="12">
        <v>0</v>
      </c>
      <c r="T14" s="12">
        <v>-8847.35</v>
      </c>
      <c r="U14" s="12">
        <v>-6.41</v>
      </c>
      <c r="V14" s="12">
        <v>-8847.35</v>
      </c>
      <c r="W14" s="12">
        <v>0</v>
      </c>
      <c r="X14" s="12">
        <v>88.47</v>
      </c>
      <c r="Y14" t="str">
        <f t="shared" si="1"/>
        <v>Sit.Normal</v>
      </c>
      <c r="Z14">
        <f t="shared" si="2"/>
        <v>1</v>
      </c>
      <c r="AB14">
        <f>VLOOKUP(A14,rubros_a_considerar!$A$2:$A$13,1,FALSE)</f>
        <v>141154001</v>
      </c>
      <c r="AC14" s="2">
        <f t="shared" si="0"/>
        <v>-8847.35</v>
      </c>
      <c r="AD14" s="4">
        <f>IF(Z14&lt;=1,Diccionario!$M$2,Diccionario!$M$3)</f>
        <v>1.4999999999999999E-2</v>
      </c>
      <c r="AE14" s="93">
        <f t="shared" si="3"/>
        <v>4.1406369609475746E-5</v>
      </c>
      <c r="AF14">
        <f t="shared" si="4"/>
        <v>0</v>
      </c>
      <c r="AG14" s="5">
        <f t="shared" si="5"/>
        <v>3650</v>
      </c>
      <c r="AH14">
        <f t="shared" si="6"/>
        <v>365</v>
      </c>
      <c r="AI14">
        <f t="shared" si="7"/>
        <v>1779.0468468185993</v>
      </c>
      <c r="AJ14" s="4">
        <f t="shared" si="8"/>
        <v>1.4999999999999999E-2</v>
      </c>
      <c r="AK14">
        <f>IF(Z14&lt;=3,Diccionario!$O$2,IF(Z14=4,Diccionario!$O$5,Diccionario!$O$6))</f>
        <v>0.66499985814979368</v>
      </c>
      <c r="AL14">
        <f t="shared" si="9"/>
        <v>1</v>
      </c>
      <c r="AM14" s="3">
        <f t="shared" si="10"/>
        <v>8847.35</v>
      </c>
      <c r="AN14" s="95">
        <f>MIN(AJ14*AK14*AM14*(1+'[2]Pesos escenarios'!$F$8/2),AM14)</f>
        <v>117.62449020487419</v>
      </c>
      <c r="AO14" t="str">
        <f>IFERROR(VLOOKUP(A14,Diccionario!$C$2:$E$65,3,FALSE),"no")</f>
        <v>IVA Debito Fiscal no Cobrados</v>
      </c>
    </row>
    <row r="15" spans="1:45" x14ac:dyDescent="0.35">
      <c r="A15">
        <v>141154001</v>
      </c>
      <c r="B15">
        <v>80</v>
      </c>
      <c r="C15">
        <v>55257</v>
      </c>
      <c r="D15">
        <v>42940</v>
      </c>
      <c r="E15">
        <v>0</v>
      </c>
      <c r="F15" s="1">
        <v>46142</v>
      </c>
      <c r="G15" s="1" t="s">
        <v>96</v>
      </c>
      <c r="H15" s="1">
        <v>46142</v>
      </c>
      <c r="I15">
        <v>0</v>
      </c>
      <c r="J15">
        <v>0</v>
      </c>
      <c r="K15" s="11">
        <v>0</v>
      </c>
      <c r="L15">
        <v>0</v>
      </c>
      <c r="M15">
        <v>0</v>
      </c>
      <c r="N15" t="s">
        <v>92</v>
      </c>
      <c r="O15" t="s">
        <v>93</v>
      </c>
      <c r="P15">
        <v>999</v>
      </c>
      <c r="Q15" s="1" t="s">
        <v>94</v>
      </c>
      <c r="R15" s="12">
        <v>46142</v>
      </c>
      <c r="S15" s="12">
        <v>0</v>
      </c>
      <c r="T15" s="12">
        <v>-9141.9</v>
      </c>
      <c r="U15" s="12">
        <v>-6.62</v>
      </c>
      <c r="V15" s="12">
        <v>-9141.9</v>
      </c>
      <c r="W15" s="12">
        <v>0</v>
      </c>
      <c r="X15" s="12">
        <v>91.42</v>
      </c>
      <c r="Y15" t="str">
        <f t="shared" si="1"/>
        <v>Sit.Normal</v>
      </c>
      <c r="Z15">
        <f t="shared" si="2"/>
        <v>1</v>
      </c>
      <c r="AB15">
        <f>VLOOKUP(A15,rubros_a_considerar!$A$2:$A$13,1,FALSE)</f>
        <v>141154001</v>
      </c>
      <c r="AC15" s="2">
        <f t="shared" si="0"/>
        <v>-9141.9</v>
      </c>
      <c r="AD15" s="4">
        <f>IF(Z15&lt;=1,Diccionario!$M$2,Diccionario!$M$3)</f>
        <v>1.4999999999999999E-2</v>
      </c>
      <c r="AE15" s="93">
        <f t="shared" si="3"/>
        <v>4.1406369609475746E-5</v>
      </c>
      <c r="AF15">
        <f t="shared" si="4"/>
        <v>0</v>
      </c>
      <c r="AG15" s="5">
        <f t="shared" si="5"/>
        <v>3650</v>
      </c>
      <c r="AH15">
        <f t="shared" si="6"/>
        <v>365</v>
      </c>
      <c r="AI15">
        <f t="shared" si="7"/>
        <v>1779.0468468185993</v>
      </c>
      <c r="AJ15" s="4">
        <f t="shared" si="8"/>
        <v>1.4999999999999999E-2</v>
      </c>
      <c r="AK15">
        <f>IF(Z15&lt;=3,Diccionario!$O$2,IF(Z15=4,Diccionario!$O$5,Diccionario!$O$6))</f>
        <v>0.66499985814979368</v>
      </c>
      <c r="AL15">
        <f t="shared" si="9"/>
        <v>1</v>
      </c>
      <c r="AM15" s="3">
        <f t="shared" si="10"/>
        <v>9141.9</v>
      </c>
      <c r="AN15" s="95">
        <f>MIN(AJ15*AK15*AM15*(1+'[2]Pesos escenarios'!$F$8/2),AM15)</f>
        <v>121.54049822872828</v>
      </c>
      <c r="AO15" t="str">
        <f>IFERROR(VLOOKUP(A15,Diccionario!$C$2:$E$65,3,FALSE),"no")</f>
        <v>IVA Debito Fiscal no Cobrados</v>
      </c>
      <c r="AS15" s="1"/>
    </row>
    <row r="16" spans="1:45" x14ac:dyDescent="0.35">
      <c r="A16">
        <v>141154001</v>
      </c>
      <c r="B16">
        <v>80</v>
      </c>
      <c r="C16">
        <v>86774</v>
      </c>
      <c r="D16">
        <v>42931</v>
      </c>
      <c r="E16">
        <v>0</v>
      </c>
      <c r="F16" s="1">
        <v>46142</v>
      </c>
      <c r="G16" s="1" t="s">
        <v>96</v>
      </c>
      <c r="H16" s="1">
        <v>46142</v>
      </c>
      <c r="I16">
        <v>0</v>
      </c>
      <c r="J16">
        <v>0</v>
      </c>
      <c r="K16" s="11">
        <v>0</v>
      </c>
      <c r="L16">
        <v>0</v>
      </c>
      <c r="M16">
        <v>0</v>
      </c>
      <c r="N16" t="s">
        <v>92</v>
      </c>
      <c r="O16" t="s">
        <v>93</v>
      </c>
      <c r="P16">
        <v>999</v>
      </c>
      <c r="Q16" s="1" t="s">
        <v>94</v>
      </c>
      <c r="R16" s="12">
        <v>46142</v>
      </c>
      <c r="S16" s="12">
        <v>0</v>
      </c>
      <c r="T16" s="12">
        <v>-9141.9</v>
      </c>
      <c r="U16" s="12">
        <v>-6.62</v>
      </c>
      <c r="V16" s="12">
        <v>-9141.9</v>
      </c>
      <c r="W16" s="12">
        <v>0</v>
      </c>
      <c r="X16" s="12">
        <v>91.42</v>
      </c>
      <c r="Y16" t="str">
        <f t="shared" si="1"/>
        <v>Sit.Normal</v>
      </c>
      <c r="Z16">
        <f t="shared" si="2"/>
        <v>1</v>
      </c>
      <c r="AB16">
        <f>VLOOKUP(A16,rubros_a_considerar!$A$2:$A$13,1,FALSE)</f>
        <v>141154001</v>
      </c>
      <c r="AC16" s="2">
        <f t="shared" si="0"/>
        <v>-9141.9</v>
      </c>
      <c r="AD16" s="4">
        <f>IF(Z16&lt;=1,Diccionario!$M$2,Diccionario!$M$3)</f>
        <v>1.4999999999999999E-2</v>
      </c>
      <c r="AE16" s="93">
        <f t="shared" si="3"/>
        <v>4.1406369609475746E-5</v>
      </c>
      <c r="AF16">
        <f t="shared" si="4"/>
        <v>0</v>
      </c>
      <c r="AG16" s="5">
        <f t="shared" si="5"/>
        <v>3650</v>
      </c>
      <c r="AH16">
        <f t="shared" si="6"/>
        <v>365</v>
      </c>
      <c r="AI16">
        <f t="shared" si="7"/>
        <v>1779.0468468185993</v>
      </c>
      <c r="AJ16" s="4">
        <f t="shared" si="8"/>
        <v>1.4999999999999999E-2</v>
      </c>
      <c r="AK16">
        <f>IF(Z16&lt;=3,Diccionario!$O$2,IF(Z16=4,Diccionario!$O$5,Diccionario!$O$6))</f>
        <v>0.66499985814979368</v>
      </c>
      <c r="AL16">
        <f t="shared" si="9"/>
        <v>1</v>
      </c>
      <c r="AM16" s="3">
        <f t="shared" si="10"/>
        <v>9141.9</v>
      </c>
      <c r="AN16" s="95">
        <f>MIN(AJ16*AK16*AM16*(1+'[2]Pesos escenarios'!$F$8/2),AM16)</f>
        <v>121.54049822872828</v>
      </c>
      <c r="AO16" t="str">
        <f>IFERROR(VLOOKUP(A16,Diccionario!$C$2:$E$65,3,FALSE),"no")</f>
        <v>IVA Debito Fiscal no Cobrados</v>
      </c>
      <c r="AS16" s="1"/>
    </row>
    <row r="17" spans="1:45" x14ac:dyDescent="0.35">
      <c r="A17">
        <v>141154001</v>
      </c>
      <c r="B17">
        <v>80</v>
      </c>
      <c r="C17">
        <v>57497</v>
      </c>
      <c r="D17">
        <v>42937</v>
      </c>
      <c r="E17">
        <v>0</v>
      </c>
      <c r="F17" s="1">
        <v>46142</v>
      </c>
      <c r="G17" s="1" t="s">
        <v>96</v>
      </c>
      <c r="H17" s="1">
        <v>46142</v>
      </c>
      <c r="I17">
        <v>0</v>
      </c>
      <c r="J17">
        <v>0</v>
      </c>
      <c r="K17" s="11">
        <v>0</v>
      </c>
      <c r="L17">
        <v>0</v>
      </c>
      <c r="M17">
        <v>0</v>
      </c>
      <c r="N17" t="s">
        <v>92</v>
      </c>
      <c r="O17" t="s">
        <v>93</v>
      </c>
      <c r="P17">
        <v>999</v>
      </c>
      <c r="Q17" s="1" t="s">
        <v>94</v>
      </c>
      <c r="R17" s="12">
        <v>46142</v>
      </c>
      <c r="S17" s="12">
        <v>0</v>
      </c>
      <c r="T17" s="12">
        <v>-9314.39</v>
      </c>
      <c r="U17" s="12">
        <v>-6.74</v>
      </c>
      <c r="V17" s="12">
        <v>-9314.39</v>
      </c>
      <c r="W17" s="12">
        <v>0</v>
      </c>
      <c r="X17" s="12">
        <v>93.14</v>
      </c>
      <c r="Y17" t="str">
        <f t="shared" si="1"/>
        <v>Sit.Normal</v>
      </c>
      <c r="Z17">
        <f t="shared" si="2"/>
        <v>1</v>
      </c>
      <c r="AB17">
        <f>VLOOKUP(A17,rubros_a_considerar!$A$2:$A$13,1,FALSE)</f>
        <v>141154001</v>
      </c>
      <c r="AC17" s="2">
        <f t="shared" si="0"/>
        <v>-9314.39</v>
      </c>
      <c r="AD17" s="4">
        <f>IF(Z17&lt;=1,Diccionario!$M$2,Diccionario!$M$3)</f>
        <v>1.4999999999999999E-2</v>
      </c>
      <c r="AE17" s="93">
        <f t="shared" si="3"/>
        <v>4.1406369609475746E-5</v>
      </c>
      <c r="AF17">
        <f t="shared" si="4"/>
        <v>0</v>
      </c>
      <c r="AG17" s="5">
        <f t="shared" si="5"/>
        <v>3650</v>
      </c>
      <c r="AH17">
        <f t="shared" si="6"/>
        <v>365</v>
      </c>
      <c r="AI17">
        <f t="shared" si="7"/>
        <v>1779.0468468185993</v>
      </c>
      <c r="AJ17" s="4">
        <f t="shared" si="8"/>
        <v>1.4999999999999999E-2</v>
      </c>
      <c r="AK17">
        <f>IF(Z17&lt;=3,Diccionario!$O$2,IF(Z17=4,Diccionario!$O$5,Diccionario!$O$6))</f>
        <v>0.66499985814979368</v>
      </c>
      <c r="AL17">
        <f t="shared" si="9"/>
        <v>1</v>
      </c>
      <c r="AM17" s="3">
        <f t="shared" si="10"/>
        <v>9314.39</v>
      </c>
      <c r="AN17" s="95">
        <f>MIN(AJ17*AK17*AM17*(1+'[2]Pesos escenarios'!$F$8/2),AM17)</f>
        <v>123.83373273572063</v>
      </c>
      <c r="AO17" t="str">
        <f>IFERROR(VLOOKUP(A17,Diccionario!$C$2:$E$65,3,FALSE),"no")</f>
        <v>IVA Debito Fiscal no Cobrados</v>
      </c>
      <c r="AS17" s="127">
        <f>AS15-AS16</f>
        <v>0</v>
      </c>
    </row>
    <row r="18" spans="1:45" x14ac:dyDescent="0.35">
      <c r="A18">
        <v>141154001</v>
      </c>
      <c r="B18">
        <v>80</v>
      </c>
      <c r="C18">
        <v>84662</v>
      </c>
      <c r="D18">
        <v>42960</v>
      </c>
      <c r="E18">
        <v>0</v>
      </c>
      <c r="F18" s="1">
        <v>46142</v>
      </c>
      <c r="G18" s="1" t="s">
        <v>96</v>
      </c>
      <c r="H18" s="1">
        <v>46142</v>
      </c>
      <c r="I18">
        <v>0</v>
      </c>
      <c r="J18">
        <v>0</v>
      </c>
      <c r="K18" s="11">
        <v>0</v>
      </c>
      <c r="L18">
        <v>0</v>
      </c>
      <c r="M18">
        <v>0</v>
      </c>
      <c r="N18" t="s">
        <v>92</v>
      </c>
      <c r="O18" t="s">
        <v>93</v>
      </c>
      <c r="P18">
        <v>999</v>
      </c>
      <c r="Q18" s="1" t="s">
        <v>94</v>
      </c>
      <c r="R18" s="12">
        <v>46142</v>
      </c>
      <c r="S18" s="12">
        <v>0</v>
      </c>
      <c r="T18" s="12">
        <v>-9450</v>
      </c>
      <c r="U18" s="12">
        <v>-6.84</v>
      </c>
      <c r="V18" s="12">
        <v>-9450</v>
      </c>
      <c r="W18" s="12">
        <v>0</v>
      </c>
      <c r="X18" s="12">
        <v>94.5</v>
      </c>
      <c r="Y18" t="str">
        <f t="shared" si="1"/>
        <v>Sit.Normal</v>
      </c>
      <c r="Z18">
        <f t="shared" si="2"/>
        <v>1</v>
      </c>
      <c r="AB18">
        <f>VLOOKUP(A18,rubros_a_considerar!$A$2:$A$13,1,FALSE)</f>
        <v>141154001</v>
      </c>
      <c r="AC18" s="2">
        <f t="shared" si="0"/>
        <v>-9450</v>
      </c>
      <c r="AD18" s="4">
        <f>IF(Z18&lt;=1,Diccionario!$M$2,Diccionario!$M$3)</f>
        <v>1.4999999999999999E-2</v>
      </c>
      <c r="AE18" s="93">
        <f t="shared" si="3"/>
        <v>4.1406369609475746E-5</v>
      </c>
      <c r="AF18">
        <f t="shared" si="4"/>
        <v>0</v>
      </c>
      <c r="AG18" s="5">
        <f t="shared" si="5"/>
        <v>3650</v>
      </c>
      <c r="AH18">
        <f t="shared" si="6"/>
        <v>365</v>
      </c>
      <c r="AI18">
        <f t="shared" si="7"/>
        <v>1779.0468468185993</v>
      </c>
      <c r="AJ18" s="4">
        <f t="shared" si="8"/>
        <v>1.4999999999999999E-2</v>
      </c>
      <c r="AK18">
        <f>IF(Z18&lt;=3,Diccionario!$O$2,IF(Z18=4,Diccionario!$O$5,Diccionario!$O$6))</f>
        <v>0.66499985814979368</v>
      </c>
      <c r="AL18">
        <f t="shared" si="9"/>
        <v>1</v>
      </c>
      <c r="AM18" s="3">
        <f t="shared" si="10"/>
        <v>9450</v>
      </c>
      <c r="AN18" s="95">
        <f>MIN(AJ18*AK18*AM18*(1+'[2]Pesos escenarios'!$F$8/2),AM18)</f>
        <v>125.63665192809835</v>
      </c>
      <c r="AO18" t="str">
        <f>IFERROR(VLOOKUP(A18,Diccionario!$C$2:$E$65,3,FALSE),"no")</f>
        <v>IVA Debito Fiscal no Cobrados</v>
      </c>
    </row>
    <row r="19" spans="1:45" x14ac:dyDescent="0.35">
      <c r="A19">
        <v>141154001</v>
      </c>
      <c r="B19">
        <v>80</v>
      </c>
      <c r="C19">
        <v>85825</v>
      </c>
      <c r="D19">
        <v>42947</v>
      </c>
      <c r="E19">
        <v>0</v>
      </c>
      <c r="F19" s="1">
        <v>46142</v>
      </c>
      <c r="G19" s="1" t="s">
        <v>96</v>
      </c>
      <c r="H19" s="1">
        <v>46142</v>
      </c>
      <c r="I19">
        <v>0</v>
      </c>
      <c r="J19">
        <v>0</v>
      </c>
      <c r="K19" s="11">
        <v>0</v>
      </c>
      <c r="L19">
        <v>0</v>
      </c>
      <c r="M19">
        <v>0</v>
      </c>
      <c r="N19" t="s">
        <v>92</v>
      </c>
      <c r="O19" t="s">
        <v>93</v>
      </c>
      <c r="P19">
        <v>999</v>
      </c>
      <c r="Q19" s="1" t="s">
        <v>94</v>
      </c>
      <c r="R19" s="12">
        <v>46142</v>
      </c>
      <c r="S19" s="12">
        <v>0</v>
      </c>
      <c r="T19" s="12">
        <v>-9481.27</v>
      </c>
      <c r="U19" s="12">
        <v>-6.87</v>
      </c>
      <c r="V19" s="12">
        <v>-9481.27</v>
      </c>
      <c r="W19" s="12">
        <v>0</v>
      </c>
      <c r="X19" s="12">
        <v>94.81</v>
      </c>
      <c r="Y19" t="str">
        <f t="shared" si="1"/>
        <v>Sit.Normal</v>
      </c>
      <c r="Z19">
        <f t="shared" si="2"/>
        <v>1</v>
      </c>
      <c r="AB19">
        <f>VLOOKUP(A19,rubros_a_considerar!$A$2:$A$13,1,FALSE)</f>
        <v>141154001</v>
      </c>
      <c r="AC19" s="2">
        <f t="shared" si="0"/>
        <v>-9481.27</v>
      </c>
      <c r="AD19" s="4">
        <f>IF(Z19&lt;=1,Diccionario!$M$2,Diccionario!$M$3)</f>
        <v>1.4999999999999999E-2</v>
      </c>
      <c r="AE19" s="93">
        <f t="shared" si="3"/>
        <v>4.1406369609475746E-5</v>
      </c>
      <c r="AF19">
        <f t="shared" si="4"/>
        <v>0</v>
      </c>
      <c r="AG19" s="5">
        <f t="shared" si="5"/>
        <v>3650</v>
      </c>
      <c r="AH19">
        <f t="shared" si="6"/>
        <v>365</v>
      </c>
      <c r="AI19">
        <f t="shared" si="7"/>
        <v>1779.0468468185993</v>
      </c>
      <c r="AJ19" s="4">
        <f t="shared" si="8"/>
        <v>1.4999999999999999E-2</v>
      </c>
      <c r="AK19">
        <f>IF(Z19&lt;=3,Diccionario!$O$2,IF(Z19=4,Diccionario!$O$5,Diccionario!$O$6))</f>
        <v>0.66499985814979368</v>
      </c>
      <c r="AL19">
        <f t="shared" si="9"/>
        <v>1</v>
      </c>
      <c r="AM19" s="3">
        <f t="shared" si="10"/>
        <v>9481.27</v>
      </c>
      <c r="AN19" s="95">
        <f>MIN(AJ19*AK19*AM19*(1+'[2]Pesos escenarios'!$F$8/2),AM19)</f>
        <v>126.05238294458424</v>
      </c>
      <c r="AO19" t="str">
        <f>IFERROR(VLOOKUP(A19,Diccionario!$C$2:$E$65,3,FALSE),"no")</f>
        <v>IVA Debito Fiscal no Cobrados</v>
      </c>
    </row>
    <row r="20" spans="1:45" x14ac:dyDescent="0.35">
      <c r="A20">
        <v>141154001</v>
      </c>
      <c r="B20">
        <v>80</v>
      </c>
      <c r="C20">
        <v>86883</v>
      </c>
      <c r="D20">
        <v>42962</v>
      </c>
      <c r="E20">
        <v>0</v>
      </c>
      <c r="F20" s="1">
        <v>46142</v>
      </c>
      <c r="G20" s="1" t="s">
        <v>96</v>
      </c>
      <c r="H20" s="1">
        <v>46142</v>
      </c>
      <c r="I20">
        <v>0</v>
      </c>
      <c r="J20">
        <v>0</v>
      </c>
      <c r="K20" s="11">
        <v>0</v>
      </c>
      <c r="L20">
        <v>0</v>
      </c>
      <c r="M20">
        <v>0</v>
      </c>
      <c r="N20" t="s">
        <v>92</v>
      </c>
      <c r="O20" t="s">
        <v>93</v>
      </c>
      <c r="P20">
        <v>999</v>
      </c>
      <c r="Q20" s="1" t="s">
        <v>94</v>
      </c>
      <c r="R20" s="12">
        <v>46142</v>
      </c>
      <c r="S20" s="12">
        <v>0</v>
      </c>
      <c r="T20" s="12">
        <v>-10416</v>
      </c>
      <c r="U20" s="12">
        <v>-7.54</v>
      </c>
      <c r="V20" s="12">
        <v>-10416</v>
      </c>
      <c r="W20" s="12">
        <v>0</v>
      </c>
      <c r="X20" s="12">
        <v>104.16</v>
      </c>
      <c r="Y20" t="str">
        <f t="shared" si="1"/>
        <v>Sit.Normal</v>
      </c>
      <c r="Z20">
        <f t="shared" si="2"/>
        <v>1</v>
      </c>
      <c r="AB20">
        <f>VLOOKUP(A20,rubros_a_considerar!$A$2:$A$13,1,FALSE)</f>
        <v>141154001</v>
      </c>
      <c r="AC20" s="2">
        <f t="shared" si="0"/>
        <v>-10416</v>
      </c>
      <c r="AD20" s="4">
        <f>IF(Z20&lt;=1,Diccionario!$M$2,Diccionario!$M$3)</f>
        <v>1.4999999999999999E-2</v>
      </c>
      <c r="AE20" s="93">
        <f t="shared" si="3"/>
        <v>4.1406369609475746E-5</v>
      </c>
      <c r="AF20">
        <f t="shared" si="4"/>
        <v>0</v>
      </c>
      <c r="AG20" s="5">
        <f t="shared" si="5"/>
        <v>3650</v>
      </c>
      <c r="AH20">
        <f t="shared" si="6"/>
        <v>365</v>
      </c>
      <c r="AI20">
        <f t="shared" si="7"/>
        <v>1779.0468468185993</v>
      </c>
      <c r="AJ20" s="4">
        <f t="shared" si="8"/>
        <v>1.4999999999999999E-2</v>
      </c>
      <c r="AK20">
        <f>IF(Z20&lt;=3,Diccionario!$O$2,IF(Z20=4,Diccionario!$O$5,Diccionario!$O$6))</f>
        <v>0.66499985814979368</v>
      </c>
      <c r="AL20">
        <f t="shared" si="9"/>
        <v>1</v>
      </c>
      <c r="AM20" s="3">
        <f t="shared" si="10"/>
        <v>10416</v>
      </c>
      <c r="AN20" s="95">
        <f>MIN(AJ20*AK20*AM20*(1+'[2]Pesos escenarios'!$F$8/2),AM20)</f>
        <v>138.47950968074841</v>
      </c>
      <c r="AO20" t="str">
        <f>IFERROR(VLOOKUP(A20,Diccionario!$C$2:$E$65,3,FALSE),"no")</f>
        <v>IVA Debito Fiscal no Cobrados</v>
      </c>
    </row>
    <row r="21" spans="1:45" x14ac:dyDescent="0.35">
      <c r="A21">
        <v>131715001</v>
      </c>
      <c r="B21">
        <v>80</v>
      </c>
      <c r="C21">
        <v>6206</v>
      </c>
      <c r="D21">
        <v>36882</v>
      </c>
      <c r="E21">
        <v>0</v>
      </c>
      <c r="F21" s="1">
        <v>46142</v>
      </c>
      <c r="G21" s="1">
        <v>46178</v>
      </c>
      <c r="H21" s="1">
        <v>45082</v>
      </c>
      <c r="I21">
        <v>1080</v>
      </c>
      <c r="J21">
        <v>2</v>
      </c>
      <c r="K21" s="11">
        <v>66</v>
      </c>
      <c r="L21">
        <v>1</v>
      </c>
      <c r="M21">
        <v>2</v>
      </c>
      <c r="N21" t="s">
        <v>92</v>
      </c>
      <c r="O21" t="s">
        <v>93</v>
      </c>
      <c r="P21">
        <v>466</v>
      </c>
      <c r="Q21" s="1" t="s">
        <v>95</v>
      </c>
      <c r="R21" s="12">
        <v>45082</v>
      </c>
      <c r="S21" s="12">
        <v>1250000</v>
      </c>
      <c r="T21" s="12">
        <v>-147670.72</v>
      </c>
      <c r="U21" s="12">
        <v>-106.92</v>
      </c>
      <c r="V21" s="12">
        <v>-147670.72</v>
      </c>
      <c r="W21" s="12">
        <v>-6675.53</v>
      </c>
      <c r="X21" s="12">
        <v>1543.46</v>
      </c>
      <c r="Y21" t="str">
        <f t="shared" si="1"/>
        <v>Sit.Normal</v>
      </c>
      <c r="Z21">
        <f t="shared" si="2"/>
        <v>1</v>
      </c>
      <c r="AB21">
        <f>VLOOKUP(A21,rubros_a_considerar!$A$2:$A$13,1,FALSE)</f>
        <v>131715001</v>
      </c>
      <c r="AC21" s="2">
        <f t="shared" si="0"/>
        <v>-154346.25</v>
      </c>
      <c r="AD21" s="4">
        <f>IF(Z21&lt;=1,Diccionario!$M$2,Diccionario!$M$3)</f>
        <v>1.4999999999999999E-2</v>
      </c>
      <c r="AE21" s="93">
        <f t="shared" si="3"/>
        <v>4.1406369609475746E-5</v>
      </c>
      <c r="AF21">
        <f t="shared" si="4"/>
        <v>36</v>
      </c>
      <c r="AG21" s="5">
        <f t="shared" si="5"/>
        <v>36</v>
      </c>
      <c r="AH21">
        <f t="shared" si="6"/>
        <v>36</v>
      </c>
      <c r="AI21">
        <f t="shared" si="7"/>
        <v>17.995531545220278</v>
      </c>
      <c r="AJ21" s="4">
        <f t="shared" si="8"/>
        <v>1.4999999999999999E-2</v>
      </c>
      <c r="AK21">
        <f>IF(Z21&lt;=3,Diccionario!$O$2,IF(Z21=4,Diccionario!$O$5,Diccionario!$O$6))</f>
        <v>0.66499985814979368</v>
      </c>
      <c r="AL21">
        <f t="shared" si="9"/>
        <v>1</v>
      </c>
      <c r="AM21" s="3">
        <f t="shared" si="10"/>
        <v>154346.25</v>
      </c>
      <c r="AN21" s="95">
        <f>MIN(AJ21*AK21*AM21*(1+'[2]Pesos escenarios'!$F$8/2),AM21)</f>
        <v>2052.0154590113493</v>
      </c>
      <c r="AO21" t="str">
        <f>IFERROR(VLOOKUP(A21,Diccionario!$C$2:$E$65,3,FALSE),"no")</f>
        <v>Prestamos a Sola Firma</v>
      </c>
    </row>
    <row r="22" spans="1:45" x14ac:dyDescent="0.35">
      <c r="A22">
        <v>131715001</v>
      </c>
      <c r="B22">
        <v>80</v>
      </c>
      <c r="C22">
        <v>13957</v>
      </c>
      <c r="D22">
        <v>36870</v>
      </c>
      <c r="E22">
        <v>0</v>
      </c>
      <c r="F22" s="1">
        <v>46142</v>
      </c>
      <c r="G22" s="1">
        <v>46307</v>
      </c>
      <c r="H22" s="1">
        <v>44845</v>
      </c>
      <c r="I22">
        <v>1441</v>
      </c>
      <c r="J22">
        <v>2</v>
      </c>
      <c r="K22" s="11">
        <v>66</v>
      </c>
      <c r="L22">
        <v>1</v>
      </c>
      <c r="M22">
        <v>2</v>
      </c>
      <c r="N22" t="s">
        <v>92</v>
      </c>
      <c r="O22" t="s">
        <v>93</v>
      </c>
      <c r="P22">
        <v>202</v>
      </c>
      <c r="Q22" s="1" t="s">
        <v>95</v>
      </c>
      <c r="R22" s="12">
        <v>44845</v>
      </c>
      <c r="S22" s="12">
        <v>2000000</v>
      </c>
      <c r="T22" s="12">
        <v>-592060.44999999995</v>
      </c>
      <c r="U22" s="12">
        <v>-428.69</v>
      </c>
      <c r="V22" s="12">
        <v>-592060.44999999995</v>
      </c>
      <c r="W22" s="12">
        <v>-19270.349999999999</v>
      </c>
      <c r="X22" s="12">
        <v>6113.31</v>
      </c>
      <c r="Y22" t="str">
        <f t="shared" si="1"/>
        <v>Sit.Normal</v>
      </c>
      <c r="Z22">
        <f t="shared" si="2"/>
        <v>1</v>
      </c>
      <c r="AB22">
        <f>VLOOKUP(A22,rubros_a_considerar!$A$2:$A$13,1,FALSE)</f>
        <v>131715001</v>
      </c>
      <c r="AC22" s="2">
        <f t="shared" si="0"/>
        <v>-611330.79999999993</v>
      </c>
      <c r="AD22" s="4">
        <f>IF(Z22&lt;=1,Diccionario!$M$2,Diccionario!$M$3)</f>
        <v>1.4999999999999999E-2</v>
      </c>
      <c r="AE22" s="93">
        <f t="shared" si="3"/>
        <v>4.1406369609475746E-5</v>
      </c>
      <c r="AF22">
        <f t="shared" si="4"/>
        <v>165</v>
      </c>
      <c r="AG22" s="5">
        <f t="shared" si="5"/>
        <v>165</v>
      </c>
      <c r="AH22">
        <f t="shared" si="6"/>
        <v>165</v>
      </c>
      <c r="AI22">
        <f t="shared" si="7"/>
        <v>82.406060840227397</v>
      </c>
      <c r="AJ22" s="4">
        <f t="shared" si="8"/>
        <v>1.4999999999999999E-2</v>
      </c>
      <c r="AK22">
        <f>IF(Z22&lt;=3,Diccionario!$O$2,IF(Z22=4,Diccionario!$O$5,Diccionario!$O$6))</f>
        <v>0.66499985814979368</v>
      </c>
      <c r="AL22">
        <f t="shared" si="9"/>
        <v>1</v>
      </c>
      <c r="AM22" s="3">
        <f t="shared" si="10"/>
        <v>611330.79999999993</v>
      </c>
      <c r="AN22" s="95">
        <f>MIN(AJ22*AK22*AM22*(1+'[2]Pesos escenarios'!$F$8/2),AM22)</f>
        <v>8127.5719505318411</v>
      </c>
      <c r="AO22" t="str">
        <f>IFERROR(VLOOKUP(A22,Diccionario!$C$2:$E$65,3,FALSE),"no")</f>
        <v>Prestamos a Sola Firma</v>
      </c>
    </row>
    <row r="23" spans="1:45" x14ac:dyDescent="0.35">
      <c r="A23">
        <v>131715001</v>
      </c>
      <c r="B23">
        <v>80</v>
      </c>
      <c r="C23">
        <v>13957</v>
      </c>
      <c r="D23">
        <v>36869</v>
      </c>
      <c r="E23">
        <v>0</v>
      </c>
      <c r="F23" s="1">
        <v>46142</v>
      </c>
      <c r="G23" s="1">
        <v>46279</v>
      </c>
      <c r="H23" s="1">
        <v>44818</v>
      </c>
      <c r="I23">
        <v>1440</v>
      </c>
      <c r="J23">
        <v>2</v>
      </c>
      <c r="K23" s="11">
        <v>66</v>
      </c>
      <c r="L23">
        <v>1</v>
      </c>
      <c r="M23">
        <v>2</v>
      </c>
      <c r="N23" t="s">
        <v>92</v>
      </c>
      <c r="O23" t="s">
        <v>93</v>
      </c>
      <c r="P23">
        <v>202</v>
      </c>
      <c r="Q23" s="1" t="s">
        <v>95</v>
      </c>
      <c r="R23" s="12">
        <v>44818</v>
      </c>
      <c r="S23" s="12">
        <v>3000000</v>
      </c>
      <c r="T23" s="12">
        <v>-756500.84</v>
      </c>
      <c r="U23" s="12">
        <v>-547.75</v>
      </c>
      <c r="V23" s="12">
        <v>-756500.84</v>
      </c>
      <c r="W23" s="12">
        <v>-23254.63</v>
      </c>
      <c r="X23" s="12">
        <v>7797.55</v>
      </c>
      <c r="Y23" t="str">
        <f t="shared" si="1"/>
        <v>Sit.Normal</v>
      </c>
      <c r="Z23">
        <f t="shared" si="2"/>
        <v>1</v>
      </c>
      <c r="AB23">
        <f>VLOOKUP(A23,rubros_a_considerar!$A$2:$A$13,1,FALSE)</f>
        <v>131715001</v>
      </c>
      <c r="AC23" s="2">
        <f t="shared" si="0"/>
        <v>-779755.47</v>
      </c>
      <c r="AD23" s="4">
        <f>IF(Z23&lt;=1,Diccionario!$M$2,Diccionario!$M$3)</f>
        <v>1.4999999999999999E-2</v>
      </c>
      <c r="AE23" s="93">
        <f t="shared" si="3"/>
        <v>4.1406369609475746E-5</v>
      </c>
      <c r="AF23">
        <f t="shared" si="4"/>
        <v>137</v>
      </c>
      <c r="AG23" s="5">
        <f t="shared" si="5"/>
        <v>137</v>
      </c>
      <c r="AH23">
        <f t="shared" si="6"/>
        <v>137</v>
      </c>
      <c r="AI23">
        <f t="shared" si="7"/>
        <v>68.435239023736813</v>
      </c>
      <c r="AJ23" s="4">
        <f t="shared" si="8"/>
        <v>1.4999999999999999E-2</v>
      </c>
      <c r="AK23">
        <f>IF(Z23&lt;=3,Diccionario!$O$2,IF(Z23=4,Diccionario!$O$5,Diccionario!$O$6))</f>
        <v>0.66499985814979368</v>
      </c>
      <c r="AL23">
        <f t="shared" si="9"/>
        <v>1</v>
      </c>
      <c r="AM23" s="3">
        <f t="shared" si="10"/>
        <v>779755.47</v>
      </c>
      <c r="AN23" s="95">
        <f>MIN(AJ23*AK23*AM23*(1+'[2]Pesos escenarios'!$F$8/2),AM23)</f>
        <v>10366.75836755775</v>
      </c>
      <c r="AO23" t="str">
        <f>IFERROR(VLOOKUP(A23,Diccionario!$C$2:$E$65,3,FALSE),"no")</f>
        <v>Prestamos a Sola Firma</v>
      </c>
    </row>
    <row r="24" spans="1:45" x14ac:dyDescent="0.35">
      <c r="A24">
        <v>131731003</v>
      </c>
      <c r="B24">
        <v>80</v>
      </c>
      <c r="C24">
        <v>82510</v>
      </c>
      <c r="D24">
        <v>42796</v>
      </c>
      <c r="E24">
        <v>0</v>
      </c>
      <c r="F24" s="1">
        <v>46142</v>
      </c>
      <c r="G24" s="1">
        <v>46147</v>
      </c>
      <c r="H24" s="1">
        <v>45782</v>
      </c>
      <c r="I24">
        <v>360</v>
      </c>
      <c r="J24">
        <v>2</v>
      </c>
      <c r="K24" s="11">
        <v>52</v>
      </c>
      <c r="L24">
        <v>1</v>
      </c>
      <c r="M24">
        <v>2</v>
      </c>
      <c r="N24" t="s">
        <v>92</v>
      </c>
      <c r="O24" t="s">
        <v>93</v>
      </c>
      <c r="P24">
        <v>999</v>
      </c>
      <c r="Q24" s="1" t="s">
        <v>94</v>
      </c>
      <c r="R24" s="12">
        <v>45782</v>
      </c>
      <c r="S24" s="12">
        <v>200000</v>
      </c>
      <c r="T24" s="12">
        <v>-20801.48</v>
      </c>
      <c r="U24" s="12">
        <v>-15.06</v>
      </c>
      <c r="V24" s="12">
        <v>-20801.48</v>
      </c>
      <c r="W24" s="12">
        <v>-740.87</v>
      </c>
      <c r="X24" s="12">
        <v>215.42</v>
      </c>
      <c r="Y24" t="str">
        <f t="shared" si="1"/>
        <v>Sit.Normal</v>
      </c>
      <c r="Z24">
        <f t="shared" si="2"/>
        <v>1</v>
      </c>
      <c r="AB24">
        <f>VLOOKUP(A24,rubros_a_considerar!$A$2:$A$13,1,FALSE)</f>
        <v>131731003</v>
      </c>
      <c r="AC24" s="2">
        <f t="shared" si="0"/>
        <v>-21542.35</v>
      </c>
      <c r="AD24" s="4">
        <f>IF(Z24&lt;=1,Diccionario!$M$2,Diccionario!$M$3)</f>
        <v>1.4999999999999999E-2</v>
      </c>
      <c r="AE24" s="93">
        <f t="shared" si="3"/>
        <v>4.1406369609475746E-5</v>
      </c>
      <c r="AF24">
        <f t="shared" si="4"/>
        <v>5</v>
      </c>
      <c r="AG24" s="5">
        <f t="shared" si="5"/>
        <v>5</v>
      </c>
      <c r="AH24">
        <f t="shared" si="6"/>
        <v>5</v>
      </c>
      <c r="AI24">
        <f t="shared" si="7"/>
        <v>2.4999171007643421</v>
      </c>
      <c r="AJ24" s="4">
        <f t="shared" si="8"/>
        <v>1.4999999999999999E-2</v>
      </c>
      <c r="AK24">
        <f>IF(Z24&lt;=3,Diccionario!$O$2,IF(Z24=4,Diccionario!$O$5,Diccionario!$O$6))</f>
        <v>0.66499985814979368</v>
      </c>
      <c r="AL24">
        <f t="shared" si="9"/>
        <v>1</v>
      </c>
      <c r="AM24" s="3">
        <f t="shared" si="10"/>
        <v>21542.35</v>
      </c>
      <c r="AN24" s="95">
        <f>MIN(AJ24*AK24*AM24*(1+'[2]Pesos escenarios'!$F$8/2),AM24)</f>
        <v>286.40304007018722</v>
      </c>
      <c r="AO24" t="str">
        <f>IFERROR(VLOOKUP(A24,Diccionario!$C$2:$E$65,3,FALSE),"no")</f>
        <v>Prestamos Personales</v>
      </c>
    </row>
    <row r="25" spans="1:45" x14ac:dyDescent="0.35">
      <c r="A25">
        <v>131731003</v>
      </c>
      <c r="B25">
        <v>80</v>
      </c>
      <c r="C25">
        <v>85822</v>
      </c>
      <c r="D25">
        <v>42797</v>
      </c>
      <c r="E25">
        <v>0</v>
      </c>
      <c r="F25" s="1">
        <v>46142</v>
      </c>
      <c r="G25" s="1">
        <v>46147</v>
      </c>
      <c r="H25" s="1">
        <v>45782</v>
      </c>
      <c r="I25">
        <v>360</v>
      </c>
      <c r="J25">
        <v>2</v>
      </c>
      <c r="K25" s="11">
        <v>52</v>
      </c>
      <c r="L25">
        <v>1</v>
      </c>
      <c r="M25">
        <v>2</v>
      </c>
      <c r="N25" t="s">
        <v>92</v>
      </c>
      <c r="O25" t="s">
        <v>97</v>
      </c>
      <c r="P25">
        <v>999</v>
      </c>
      <c r="Q25" s="1" t="s">
        <v>94</v>
      </c>
      <c r="R25" s="12">
        <v>45782</v>
      </c>
      <c r="S25" s="12">
        <v>400000</v>
      </c>
      <c r="T25" s="12">
        <v>-41602.93</v>
      </c>
      <c r="U25" s="12">
        <v>-30.12</v>
      </c>
      <c r="V25" s="12">
        <v>-41602.93</v>
      </c>
      <c r="W25" s="12">
        <v>-1481.75</v>
      </c>
      <c r="X25" s="12">
        <v>21542.34</v>
      </c>
      <c r="Y25" t="str">
        <f t="shared" si="1"/>
        <v>Alto Riesgo</v>
      </c>
      <c r="Z25">
        <f t="shared" si="2"/>
        <v>4</v>
      </c>
      <c r="AB25">
        <f>VLOOKUP(A25,rubros_a_considerar!$A$2:$A$13,1,FALSE)</f>
        <v>131731003</v>
      </c>
      <c r="AC25" s="2">
        <f t="shared" si="0"/>
        <v>-43084.68</v>
      </c>
      <c r="AD25" s="4">
        <f>IF(Z25&lt;=1,Diccionario!$M$2,Diccionario!$M$3)</f>
        <v>4.1599564264279444E-2</v>
      </c>
      <c r="AE25" s="93">
        <f t="shared" si="3"/>
        <v>1.1640307935334437E-4</v>
      </c>
      <c r="AF25">
        <f t="shared" si="4"/>
        <v>5</v>
      </c>
      <c r="AG25" s="5">
        <f t="shared" si="5"/>
        <v>5</v>
      </c>
      <c r="AH25">
        <f t="shared" si="6"/>
        <v>5</v>
      </c>
      <c r="AI25">
        <f t="shared" si="7"/>
        <v>2.4997671862485218</v>
      </c>
      <c r="AJ25" s="4">
        <f t="shared" si="8"/>
        <v>1</v>
      </c>
      <c r="AK25">
        <f>IF(Z25&lt;=3,Diccionario!$O$2,IF(Z25=4,Diccionario!$O$5,Diccionario!$O$6))</f>
        <v>0.92250106026350687</v>
      </c>
      <c r="AL25">
        <f t="shared" si="9"/>
        <v>3</v>
      </c>
      <c r="AM25" s="3">
        <f t="shared" si="10"/>
        <v>43084.68</v>
      </c>
      <c r="AN25" s="95">
        <f>MIN(AJ25*AK25*AM25*(1+'[2]Pesos escenarios'!$F$8/2),AM25)</f>
        <v>43084.68</v>
      </c>
      <c r="AO25" t="str">
        <f>IFERROR(VLOOKUP(A25,Diccionario!$C$2:$E$65,3,FALSE),"no")</f>
        <v>Prestamos Personales</v>
      </c>
    </row>
    <row r="26" spans="1:45" x14ac:dyDescent="0.35">
      <c r="A26">
        <v>131731003</v>
      </c>
      <c r="B26">
        <v>80</v>
      </c>
      <c r="C26">
        <v>86152</v>
      </c>
      <c r="D26">
        <v>42805</v>
      </c>
      <c r="E26">
        <v>0</v>
      </c>
      <c r="F26" s="1">
        <v>46142</v>
      </c>
      <c r="G26" s="1">
        <v>46171</v>
      </c>
      <c r="H26" s="1">
        <v>45806</v>
      </c>
      <c r="I26">
        <v>360</v>
      </c>
      <c r="J26">
        <v>2</v>
      </c>
      <c r="K26" s="11">
        <v>52</v>
      </c>
      <c r="L26">
        <v>1</v>
      </c>
      <c r="M26">
        <v>2</v>
      </c>
      <c r="N26" t="s">
        <v>92</v>
      </c>
      <c r="O26" t="s">
        <v>93</v>
      </c>
      <c r="P26">
        <v>999</v>
      </c>
      <c r="Q26" s="1" t="s">
        <v>94</v>
      </c>
      <c r="R26" s="12">
        <v>45806</v>
      </c>
      <c r="S26" s="12">
        <v>400000</v>
      </c>
      <c r="T26" s="12">
        <v>-81524.11</v>
      </c>
      <c r="U26" s="12">
        <v>-59.03</v>
      </c>
      <c r="V26" s="12">
        <v>-81524.11</v>
      </c>
      <c r="W26" s="12">
        <v>-3486.58</v>
      </c>
      <c r="X26" s="12">
        <v>850.11</v>
      </c>
      <c r="Y26" t="str">
        <f t="shared" si="1"/>
        <v>Sit.Normal</v>
      </c>
      <c r="Z26">
        <f t="shared" si="2"/>
        <v>1</v>
      </c>
      <c r="AB26">
        <f>VLOOKUP(A26,rubros_a_considerar!$A$2:$A$13,1,FALSE)</f>
        <v>131731003</v>
      </c>
      <c r="AC26" s="2">
        <f t="shared" si="0"/>
        <v>-85010.69</v>
      </c>
      <c r="AD26" s="4">
        <f>IF(Z26&lt;=1,Diccionario!$M$2,Diccionario!$M$3)</f>
        <v>1.4999999999999999E-2</v>
      </c>
      <c r="AE26" s="93">
        <f t="shared" si="3"/>
        <v>4.1406369609475746E-5</v>
      </c>
      <c r="AF26">
        <f t="shared" si="4"/>
        <v>29</v>
      </c>
      <c r="AG26" s="5">
        <f t="shared" si="5"/>
        <v>29</v>
      </c>
      <c r="AH26">
        <f t="shared" si="6"/>
        <v>29</v>
      </c>
      <c r="AI26">
        <f t="shared" si="7"/>
        <v>14.497101447736259</v>
      </c>
      <c r="AJ26" s="4">
        <f t="shared" si="8"/>
        <v>1.4999999999999999E-2</v>
      </c>
      <c r="AK26">
        <f>IF(Z26&lt;=3,Diccionario!$O$2,IF(Z26=4,Diccionario!$O$5,Diccionario!$O$6))</f>
        <v>0.66499985814979368</v>
      </c>
      <c r="AL26">
        <f t="shared" si="9"/>
        <v>1</v>
      </c>
      <c r="AM26" s="3">
        <f t="shared" si="10"/>
        <v>85010.69</v>
      </c>
      <c r="AN26" s="95">
        <f>MIN(AJ26*AK26*AM26*(1+'[2]Pesos escenarios'!$F$8/2),AM26)</f>
        <v>1130.207245470632</v>
      </c>
      <c r="AO26" t="str">
        <f>IFERROR(VLOOKUP(A26,Diccionario!$C$2:$E$65,3,FALSE),"no")</f>
        <v>Prestamos Personales</v>
      </c>
    </row>
    <row r="27" spans="1:45" x14ac:dyDescent="0.35">
      <c r="A27">
        <v>131731003</v>
      </c>
      <c r="B27">
        <v>80</v>
      </c>
      <c r="C27">
        <v>86563</v>
      </c>
      <c r="D27">
        <v>42806</v>
      </c>
      <c r="E27">
        <v>0</v>
      </c>
      <c r="F27" s="1">
        <v>46142</v>
      </c>
      <c r="G27" s="1">
        <v>46178</v>
      </c>
      <c r="H27" s="1">
        <v>45813</v>
      </c>
      <c r="I27">
        <v>360</v>
      </c>
      <c r="J27">
        <v>2</v>
      </c>
      <c r="K27" s="11">
        <v>52</v>
      </c>
      <c r="L27">
        <v>1</v>
      </c>
      <c r="M27">
        <v>2</v>
      </c>
      <c r="N27" t="s">
        <v>92</v>
      </c>
      <c r="O27" t="s">
        <v>93</v>
      </c>
      <c r="P27">
        <v>999</v>
      </c>
      <c r="Q27" s="1" t="s">
        <v>94</v>
      </c>
      <c r="R27" s="12">
        <v>45813</v>
      </c>
      <c r="S27" s="12">
        <v>400000</v>
      </c>
      <c r="T27" s="12">
        <v>-119545.37</v>
      </c>
      <c r="U27" s="12">
        <v>-86.56</v>
      </c>
      <c r="V27" s="12">
        <v>-119545.37</v>
      </c>
      <c r="W27" s="12">
        <v>-9537.43</v>
      </c>
      <c r="X27" s="12">
        <v>1290.83</v>
      </c>
      <c r="Y27" t="str">
        <f t="shared" si="1"/>
        <v>Sit.Normal</v>
      </c>
      <c r="Z27">
        <f t="shared" si="2"/>
        <v>1</v>
      </c>
      <c r="AB27">
        <f>VLOOKUP(A27,rubros_a_considerar!$A$2:$A$13,1,FALSE)</f>
        <v>131731003</v>
      </c>
      <c r="AC27" s="2">
        <f t="shared" si="0"/>
        <v>-129082.79999999999</v>
      </c>
      <c r="AD27" s="4">
        <f>IF(Z27&lt;=1,Diccionario!$M$2,Diccionario!$M$3)</f>
        <v>1.4999999999999999E-2</v>
      </c>
      <c r="AE27" s="93">
        <f t="shared" si="3"/>
        <v>4.1406369609475746E-5</v>
      </c>
      <c r="AF27">
        <f t="shared" si="4"/>
        <v>36</v>
      </c>
      <c r="AG27" s="5">
        <f t="shared" si="5"/>
        <v>36</v>
      </c>
      <c r="AH27">
        <f t="shared" si="6"/>
        <v>36</v>
      </c>
      <c r="AI27">
        <f t="shared" si="7"/>
        <v>17.995531545220278</v>
      </c>
      <c r="AJ27" s="4">
        <f t="shared" si="8"/>
        <v>1.4999999999999999E-2</v>
      </c>
      <c r="AK27">
        <f>IF(Z27&lt;=3,Diccionario!$O$2,IF(Z27=4,Diccionario!$O$5,Diccionario!$O$6))</f>
        <v>0.66499985814979368</v>
      </c>
      <c r="AL27">
        <f t="shared" si="9"/>
        <v>1</v>
      </c>
      <c r="AM27" s="3">
        <f t="shared" si="10"/>
        <v>129082.79999999999</v>
      </c>
      <c r="AN27" s="95">
        <f>MIN(AJ27*AK27*AM27*(1+'[2]Pesos escenarios'!$F$8/2),AM27)</f>
        <v>1716.1408268258554</v>
      </c>
      <c r="AO27" t="str">
        <f>IFERROR(VLOOKUP(A27,Diccionario!$C$2:$E$65,3,FALSE),"no")</f>
        <v>Prestamos Personales</v>
      </c>
    </row>
    <row r="28" spans="1:45" x14ac:dyDescent="0.35">
      <c r="A28">
        <v>131731003</v>
      </c>
      <c r="B28">
        <v>80</v>
      </c>
      <c r="C28">
        <v>59343</v>
      </c>
      <c r="D28">
        <v>42886</v>
      </c>
      <c r="E28">
        <v>0</v>
      </c>
      <c r="F28" s="1">
        <v>46142</v>
      </c>
      <c r="G28" s="1">
        <v>46301</v>
      </c>
      <c r="H28" s="1">
        <v>45936</v>
      </c>
      <c r="I28">
        <v>360</v>
      </c>
      <c r="J28">
        <v>2</v>
      </c>
      <c r="K28" s="11">
        <v>73</v>
      </c>
      <c r="L28">
        <v>1</v>
      </c>
      <c r="M28">
        <v>2</v>
      </c>
      <c r="N28" t="s">
        <v>92</v>
      </c>
      <c r="O28" t="s">
        <v>93</v>
      </c>
      <c r="P28">
        <v>999</v>
      </c>
      <c r="Q28" s="1" t="s">
        <v>94</v>
      </c>
      <c r="R28" s="12">
        <v>45936</v>
      </c>
      <c r="S28" s="12">
        <v>275000</v>
      </c>
      <c r="T28" s="12">
        <v>-161429.59</v>
      </c>
      <c r="U28" s="12">
        <v>-116.89</v>
      </c>
      <c r="V28" s="12">
        <v>-161429.59</v>
      </c>
      <c r="W28" s="12">
        <v>-8071.48</v>
      </c>
      <c r="X28" s="12">
        <v>1695.01</v>
      </c>
      <c r="Y28" t="str">
        <f t="shared" si="1"/>
        <v>Sit.Normal</v>
      </c>
      <c r="Z28">
        <f t="shared" si="2"/>
        <v>1</v>
      </c>
      <c r="AB28">
        <f>VLOOKUP(A28,rubros_a_considerar!$A$2:$A$13,1,FALSE)</f>
        <v>131731003</v>
      </c>
      <c r="AC28" s="2">
        <f t="shared" si="0"/>
        <v>-169501.07</v>
      </c>
      <c r="AD28" s="4">
        <f>IF(Z28&lt;=1,Diccionario!$M$2,Diccionario!$M$3)</f>
        <v>1.4999999999999999E-2</v>
      </c>
      <c r="AE28" s="93">
        <f t="shared" si="3"/>
        <v>4.1406369609475746E-5</v>
      </c>
      <c r="AF28">
        <f t="shared" si="4"/>
        <v>159</v>
      </c>
      <c r="AG28" s="5">
        <f t="shared" si="5"/>
        <v>159</v>
      </c>
      <c r="AH28">
        <f t="shared" si="6"/>
        <v>159</v>
      </c>
      <c r="AI28">
        <f t="shared" si="7"/>
        <v>79.412768985727467</v>
      </c>
      <c r="AJ28" s="4">
        <f t="shared" si="8"/>
        <v>1.4999999999999999E-2</v>
      </c>
      <c r="AK28">
        <f>IF(Z28&lt;=3,Diccionario!$O$2,IF(Z28=4,Diccionario!$O$5,Diccionario!$O$6))</f>
        <v>0.66499985814979368</v>
      </c>
      <c r="AL28">
        <f t="shared" si="9"/>
        <v>1</v>
      </c>
      <c r="AM28" s="3">
        <f t="shared" si="10"/>
        <v>169501.07</v>
      </c>
      <c r="AN28" s="95">
        <f>MIN(AJ28*AK28*AM28*(1+'[2]Pesos escenarios'!$F$8/2),AM28)</f>
        <v>2253.4970299502893</v>
      </c>
      <c r="AO28" t="str">
        <f>IFERROR(VLOOKUP(A28,Diccionario!$C$2:$E$65,3,FALSE),"no")</f>
        <v>Prestamos Personales</v>
      </c>
    </row>
    <row r="29" spans="1:45" x14ac:dyDescent="0.35">
      <c r="A29">
        <v>131731003</v>
      </c>
      <c r="B29">
        <v>80</v>
      </c>
      <c r="C29">
        <v>56944</v>
      </c>
      <c r="D29">
        <v>42843</v>
      </c>
      <c r="E29">
        <v>0</v>
      </c>
      <c r="F29" s="1">
        <v>46142</v>
      </c>
      <c r="G29" s="1">
        <v>46211</v>
      </c>
      <c r="H29" s="1">
        <v>45846</v>
      </c>
      <c r="I29">
        <v>360</v>
      </c>
      <c r="J29">
        <v>2</v>
      </c>
      <c r="K29" s="11">
        <v>52</v>
      </c>
      <c r="L29">
        <v>1</v>
      </c>
      <c r="M29">
        <v>2</v>
      </c>
      <c r="N29" t="s">
        <v>92</v>
      </c>
      <c r="O29" t="s">
        <v>93</v>
      </c>
      <c r="P29">
        <v>999</v>
      </c>
      <c r="Q29" s="1" t="s">
        <v>94</v>
      </c>
      <c r="R29" s="12">
        <v>45846</v>
      </c>
      <c r="S29" s="12">
        <v>550000</v>
      </c>
      <c r="T29" s="12">
        <v>-164466.57</v>
      </c>
      <c r="U29" s="12">
        <v>-119.08</v>
      </c>
      <c r="V29" s="12">
        <v>-164466.57</v>
      </c>
      <c r="W29" s="12">
        <v>-5389.1</v>
      </c>
      <c r="X29" s="12">
        <v>1698.56</v>
      </c>
      <c r="Y29" t="str">
        <f t="shared" si="1"/>
        <v>Sit.Normal</v>
      </c>
      <c r="Z29">
        <f t="shared" si="2"/>
        <v>1</v>
      </c>
      <c r="AB29">
        <f>VLOOKUP(A29,rubros_a_considerar!$A$2:$A$13,1,FALSE)</f>
        <v>131731003</v>
      </c>
      <c r="AC29" s="2">
        <f t="shared" si="0"/>
        <v>-169855.67</v>
      </c>
      <c r="AD29" s="4">
        <f>IF(Z29&lt;=1,Diccionario!$M$2,Diccionario!$M$3)</f>
        <v>1.4999999999999999E-2</v>
      </c>
      <c r="AE29" s="93">
        <f t="shared" si="3"/>
        <v>4.1406369609475746E-5</v>
      </c>
      <c r="AF29">
        <f t="shared" si="4"/>
        <v>69</v>
      </c>
      <c r="AG29" s="5">
        <f t="shared" si="5"/>
        <v>69</v>
      </c>
      <c r="AH29">
        <f t="shared" si="6"/>
        <v>69</v>
      </c>
      <c r="AI29">
        <f t="shared" si="7"/>
        <v>34.48357521906329</v>
      </c>
      <c r="AJ29" s="4">
        <f t="shared" si="8"/>
        <v>1.4999999999999999E-2</v>
      </c>
      <c r="AK29">
        <f>IF(Z29&lt;=3,Diccionario!$O$2,IF(Z29=4,Diccionario!$O$5,Diccionario!$O$6))</f>
        <v>0.66499985814979368</v>
      </c>
      <c r="AL29">
        <f t="shared" si="9"/>
        <v>1</v>
      </c>
      <c r="AM29" s="3">
        <f t="shared" si="10"/>
        <v>169855.67</v>
      </c>
      <c r="AN29" s="95">
        <f>MIN(AJ29*AK29*AM29*(1+'[2]Pesos escenarios'!$F$8/2),AM29)</f>
        <v>2258.2113957464485</v>
      </c>
      <c r="AO29" t="str">
        <f>IFERROR(VLOOKUP(A29,Diccionario!$C$2:$E$65,3,FALSE),"no")</f>
        <v>Prestamos Personales</v>
      </c>
    </row>
    <row r="30" spans="1:45" x14ac:dyDescent="0.35">
      <c r="A30">
        <v>131731003</v>
      </c>
      <c r="B30">
        <v>80</v>
      </c>
      <c r="C30">
        <v>86747</v>
      </c>
      <c r="D30">
        <v>42952</v>
      </c>
      <c r="E30">
        <v>0</v>
      </c>
      <c r="F30" s="1">
        <v>46142</v>
      </c>
      <c r="G30" s="1">
        <v>46440</v>
      </c>
      <c r="H30" s="1">
        <v>46073</v>
      </c>
      <c r="I30">
        <v>362</v>
      </c>
      <c r="J30">
        <v>2</v>
      </c>
      <c r="K30" s="11">
        <v>73</v>
      </c>
      <c r="L30">
        <v>1</v>
      </c>
      <c r="M30">
        <v>2</v>
      </c>
      <c r="N30" t="s">
        <v>92</v>
      </c>
      <c r="O30" t="s">
        <v>93</v>
      </c>
      <c r="P30">
        <v>999</v>
      </c>
      <c r="Q30" s="1" t="s">
        <v>94</v>
      </c>
      <c r="R30" s="12">
        <v>46073</v>
      </c>
      <c r="S30" s="12">
        <v>200000</v>
      </c>
      <c r="T30" s="12">
        <v>-175536.41</v>
      </c>
      <c r="U30" s="12">
        <v>-127.1</v>
      </c>
      <c r="V30" s="12">
        <v>-175536.41</v>
      </c>
      <c r="W30" s="12">
        <v>-3861.8</v>
      </c>
      <c r="X30" s="12">
        <v>1793.98</v>
      </c>
      <c r="Y30" t="str">
        <f t="shared" si="1"/>
        <v>Sit.Normal</v>
      </c>
      <c r="Z30">
        <f t="shared" si="2"/>
        <v>1</v>
      </c>
      <c r="AB30">
        <f>VLOOKUP(A30,rubros_a_considerar!$A$2:$A$13,1,FALSE)</f>
        <v>131731003</v>
      </c>
      <c r="AC30" s="2">
        <f t="shared" si="0"/>
        <v>-179398.21</v>
      </c>
      <c r="AD30" s="4">
        <f>IF(Z30&lt;=1,Diccionario!$M$2,Diccionario!$M$3)</f>
        <v>1.4999999999999999E-2</v>
      </c>
      <c r="AE30" s="93">
        <f t="shared" si="3"/>
        <v>4.1406369609475746E-5</v>
      </c>
      <c r="AF30">
        <f t="shared" si="4"/>
        <v>298</v>
      </c>
      <c r="AG30" s="5">
        <f t="shared" si="5"/>
        <v>298</v>
      </c>
      <c r="AH30">
        <f t="shared" si="6"/>
        <v>298</v>
      </c>
      <c r="AI30">
        <f t="shared" si="7"/>
        <v>148.69357693628197</v>
      </c>
      <c r="AJ30" s="4">
        <f t="shared" si="8"/>
        <v>1.4999999999999999E-2</v>
      </c>
      <c r="AK30">
        <f>IF(Z30&lt;=3,Diccionario!$O$2,IF(Z30=4,Diccionario!$O$5,Diccionario!$O$6))</f>
        <v>0.66499985814979368</v>
      </c>
      <c r="AL30">
        <f t="shared" si="9"/>
        <v>1</v>
      </c>
      <c r="AM30" s="3">
        <f t="shared" si="10"/>
        <v>179398.21</v>
      </c>
      <c r="AN30" s="95">
        <f>MIN(AJ30*AK30*AM30*(1+'[2]Pesos escenarios'!$F$8/2),AM30)</f>
        <v>2385.0783562215761</v>
      </c>
      <c r="AO30" t="str">
        <f>IFERROR(VLOOKUP(A30,Diccionario!$C$2:$E$65,3,FALSE),"no")</f>
        <v>Prestamos Personales</v>
      </c>
    </row>
    <row r="31" spans="1:45" x14ac:dyDescent="0.35">
      <c r="A31">
        <v>131731003</v>
      </c>
      <c r="B31">
        <v>80</v>
      </c>
      <c r="C31">
        <v>87159</v>
      </c>
      <c r="D31">
        <v>42857</v>
      </c>
      <c r="E31">
        <v>0</v>
      </c>
      <c r="F31" s="1">
        <v>46142</v>
      </c>
      <c r="G31" s="1">
        <v>46246</v>
      </c>
      <c r="H31" s="1">
        <v>45881</v>
      </c>
      <c r="I31">
        <v>360</v>
      </c>
      <c r="J31">
        <v>2</v>
      </c>
      <c r="K31" s="11">
        <v>52</v>
      </c>
      <c r="L31">
        <v>1</v>
      </c>
      <c r="M31">
        <v>2</v>
      </c>
      <c r="N31" t="s">
        <v>92</v>
      </c>
      <c r="O31" t="s">
        <v>93</v>
      </c>
      <c r="P31">
        <v>999</v>
      </c>
      <c r="Q31" s="1" t="s">
        <v>94</v>
      </c>
      <c r="R31" s="12">
        <v>45881</v>
      </c>
      <c r="S31" s="12">
        <v>450000</v>
      </c>
      <c r="T31" s="12">
        <v>-175930.38</v>
      </c>
      <c r="U31" s="12">
        <v>-127.38</v>
      </c>
      <c r="V31" s="12">
        <v>-175930.38</v>
      </c>
      <c r="W31" s="12">
        <v>-4511.53</v>
      </c>
      <c r="X31" s="12">
        <v>1804.42</v>
      </c>
      <c r="Y31" t="str">
        <f t="shared" si="1"/>
        <v>Sit.Normal</v>
      </c>
      <c r="Z31">
        <f t="shared" si="2"/>
        <v>1</v>
      </c>
      <c r="AB31">
        <f>VLOOKUP(A31,rubros_a_considerar!$A$2:$A$13,1,FALSE)</f>
        <v>131731003</v>
      </c>
      <c r="AC31" s="2">
        <f t="shared" si="0"/>
        <v>-180441.91</v>
      </c>
      <c r="AD31" s="4">
        <f>IF(Z31&lt;=1,Diccionario!$M$2,Diccionario!$M$3)</f>
        <v>1.4999999999999999E-2</v>
      </c>
      <c r="AE31" s="93">
        <f t="shared" si="3"/>
        <v>4.1406369609475746E-5</v>
      </c>
      <c r="AF31">
        <f t="shared" si="4"/>
        <v>104</v>
      </c>
      <c r="AG31" s="5">
        <f t="shared" si="5"/>
        <v>104</v>
      </c>
      <c r="AH31">
        <f t="shared" si="6"/>
        <v>104</v>
      </c>
      <c r="AI31">
        <f t="shared" si="7"/>
        <v>51.962681742085067</v>
      </c>
      <c r="AJ31" s="4">
        <f t="shared" si="8"/>
        <v>1.4999999999999999E-2</v>
      </c>
      <c r="AK31">
        <f>IF(Z31&lt;=3,Diccionario!$O$2,IF(Z31=4,Diccionario!$O$5,Diccionario!$O$6))</f>
        <v>0.66499985814979368</v>
      </c>
      <c r="AL31">
        <f t="shared" si="9"/>
        <v>1</v>
      </c>
      <c r="AM31" s="3">
        <f t="shared" si="10"/>
        <v>180441.91</v>
      </c>
      <c r="AN31" s="95">
        <f>MIN(AJ31*AK31*AM31*(1+'[2]Pesos escenarios'!$F$8/2),AM31)</f>
        <v>2398.954226445635</v>
      </c>
      <c r="AO31" t="str">
        <f>IFERROR(VLOOKUP(A31,Diccionario!$C$2:$E$65,3,FALSE),"no")</f>
        <v>Prestamos Personales</v>
      </c>
    </row>
    <row r="32" spans="1:45" x14ac:dyDescent="0.35">
      <c r="A32">
        <v>131731003</v>
      </c>
      <c r="B32">
        <v>80</v>
      </c>
      <c r="C32">
        <v>82822</v>
      </c>
      <c r="D32">
        <v>42950</v>
      </c>
      <c r="E32">
        <v>0</v>
      </c>
      <c r="F32" s="1">
        <v>46142</v>
      </c>
      <c r="G32" s="1">
        <v>46436</v>
      </c>
      <c r="H32" s="1">
        <v>46071</v>
      </c>
      <c r="I32">
        <v>360</v>
      </c>
      <c r="J32">
        <v>2</v>
      </c>
      <c r="K32" s="11">
        <v>73</v>
      </c>
      <c r="L32">
        <v>1</v>
      </c>
      <c r="M32">
        <v>2</v>
      </c>
      <c r="N32" t="s">
        <v>92</v>
      </c>
      <c r="O32" t="s">
        <v>93</v>
      </c>
      <c r="P32">
        <v>999</v>
      </c>
      <c r="Q32" s="1" t="s">
        <v>94</v>
      </c>
      <c r="R32" s="12">
        <v>46071</v>
      </c>
      <c r="S32" s="12">
        <v>200000</v>
      </c>
      <c r="T32" s="12">
        <v>-176288.27</v>
      </c>
      <c r="U32" s="12">
        <v>-127.64</v>
      </c>
      <c r="V32" s="12">
        <v>-176288.27</v>
      </c>
      <c r="W32" s="12">
        <v>-3878.34</v>
      </c>
      <c r="X32" s="12">
        <v>1801.67</v>
      </c>
      <c r="Y32" t="str">
        <f t="shared" si="1"/>
        <v>Sit.Normal</v>
      </c>
      <c r="Z32">
        <f t="shared" si="2"/>
        <v>1</v>
      </c>
      <c r="AB32">
        <f>VLOOKUP(A32,rubros_a_considerar!$A$2:$A$13,1,FALSE)</f>
        <v>131731003</v>
      </c>
      <c r="AC32" s="2">
        <f t="shared" si="0"/>
        <v>-180166.61</v>
      </c>
      <c r="AD32" s="4">
        <f>IF(Z32&lt;=1,Diccionario!$M$2,Diccionario!$M$3)</f>
        <v>1.4999999999999999E-2</v>
      </c>
      <c r="AE32" s="93">
        <f t="shared" si="3"/>
        <v>4.1406369609475746E-5</v>
      </c>
      <c r="AF32">
        <f t="shared" si="4"/>
        <v>294</v>
      </c>
      <c r="AG32" s="5">
        <f t="shared" si="5"/>
        <v>294</v>
      </c>
      <c r="AH32">
        <f t="shared" si="6"/>
        <v>294</v>
      </c>
      <c r="AI32">
        <f t="shared" si="7"/>
        <v>146.70174795164144</v>
      </c>
      <c r="AJ32" s="4">
        <f t="shared" si="8"/>
        <v>1.4999999999999999E-2</v>
      </c>
      <c r="AK32">
        <f>IF(Z32&lt;=3,Diccionario!$O$2,IF(Z32=4,Diccionario!$O$5,Diccionario!$O$6))</f>
        <v>0.66499985814979368</v>
      </c>
      <c r="AL32">
        <f t="shared" si="9"/>
        <v>1</v>
      </c>
      <c r="AM32" s="3">
        <f t="shared" si="10"/>
        <v>180166.61</v>
      </c>
      <c r="AN32" s="95">
        <f>MIN(AJ32*AK32*AM32*(1+'[2]Pesos escenarios'!$F$8/2),AM32)</f>
        <v>2395.2941449349673</v>
      </c>
      <c r="AO32" t="str">
        <f>IFERROR(VLOOKUP(A32,Diccionario!$C$2:$E$65,3,FALSE),"no")</f>
        <v>Prestamos Personales</v>
      </c>
    </row>
    <row r="33" spans="1:41" x14ac:dyDescent="0.35">
      <c r="A33">
        <v>131731003</v>
      </c>
      <c r="B33">
        <v>80</v>
      </c>
      <c r="C33">
        <v>86596</v>
      </c>
      <c r="D33">
        <v>42943</v>
      </c>
      <c r="E33">
        <v>0</v>
      </c>
      <c r="F33" s="1">
        <v>46142</v>
      </c>
      <c r="G33" s="1">
        <v>46408</v>
      </c>
      <c r="H33" s="1">
        <v>46043</v>
      </c>
      <c r="I33">
        <v>360</v>
      </c>
      <c r="J33">
        <v>2</v>
      </c>
      <c r="K33" s="11">
        <v>73</v>
      </c>
      <c r="L33">
        <v>1</v>
      </c>
      <c r="M33">
        <v>2</v>
      </c>
      <c r="N33" t="s">
        <v>92</v>
      </c>
      <c r="O33" t="s">
        <v>93</v>
      </c>
      <c r="P33">
        <v>999</v>
      </c>
      <c r="Q33" s="1" t="s">
        <v>94</v>
      </c>
      <c r="R33" s="12">
        <v>46043</v>
      </c>
      <c r="S33" s="12">
        <v>250000</v>
      </c>
      <c r="T33" s="12">
        <v>-202946.69</v>
      </c>
      <c r="U33" s="12">
        <v>-146.94999999999999</v>
      </c>
      <c r="V33" s="12">
        <v>-202946.69</v>
      </c>
      <c r="W33" s="12">
        <v>-4058.93</v>
      </c>
      <c r="X33" s="12">
        <v>2070.06</v>
      </c>
      <c r="Y33" t="str">
        <f t="shared" si="1"/>
        <v>Sit.Normal</v>
      </c>
      <c r="Z33">
        <f t="shared" si="2"/>
        <v>1</v>
      </c>
      <c r="AB33">
        <f>VLOOKUP(A33,rubros_a_considerar!$A$2:$A$13,1,FALSE)</f>
        <v>131731003</v>
      </c>
      <c r="AC33" s="2">
        <f t="shared" si="0"/>
        <v>-207005.62</v>
      </c>
      <c r="AD33" s="4">
        <f>IF(Z33&lt;=1,Diccionario!$M$2,Diccionario!$M$3)</f>
        <v>1.4999999999999999E-2</v>
      </c>
      <c r="AE33" s="93">
        <f t="shared" si="3"/>
        <v>4.1406369609475746E-5</v>
      </c>
      <c r="AF33">
        <f t="shared" si="4"/>
        <v>266</v>
      </c>
      <c r="AG33" s="5">
        <f t="shared" si="5"/>
        <v>266</v>
      </c>
      <c r="AH33">
        <f t="shared" si="6"/>
        <v>266</v>
      </c>
      <c r="AI33">
        <f t="shared" si="7"/>
        <v>132.75585315782004</v>
      </c>
      <c r="AJ33" s="4">
        <f t="shared" si="8"/>
        <v>1.4999999999999999E-2</v>
      </c>
      <c r="AK33">
        <f>IF(Z33&lt;=3,Diccionario!$O$2,IF(Z33=4,Diccionario!$O$5,Diccionario!$O$6))</f>
        <v>0.66499985814979368</v>
      </c>
      <c r="AL33">
        <f t="shared" si="9"/>
        <v>1</v>
      </c>
      <c r="AM33" s="3">
        <f t="shared" si="10"/>
        <v>207005.62</v>
      </c>
      <c r="AN33" s="95">
        <f>MIN(AJ33*AK33*AM33*(1+'[2]Pesos escenarios'!$F$8/2),AM33)</f>
        <v>2752.1156642434066</v>
      </c>
      <c r="AO33" t="str">
        <f>IFERROR(VLOOKUP(A33,Diccionario!$C$2:$E$65,3,FALSE),"no")</f>
        <v>Prestamos Personales</v>
      </c>
    </row>
    <row r="34" spans="1:41" x14ac:dyDescent="0.35">
      <c r="A34">
        <v>131731003</v>
      </c>
      <c r="B34">
        <v>80</v>
      </c>
      <c r="C34">
        <v>57649</v>
      </c>
      <c r="D34">
        <v>42906</v>
      </c>
      <c r="E34">
        <v>0</v>
      </c>
      <c r="F34" s="1">
        <v>46142</v>
      </c>
      <c r="G34" s="1">
        <v>46335</v>
      </c>
      <c r="H34" s="1">
        <v>45968</v>
      </c>
      <c r="I34">
        <v>362</v>
      </c>
      <c r="J34">
        <v>2</v>
      </c>
      <c r="K34" s="11">
        <v>73</v>
      </c>
      <c r="L34">
        <v>1</v>
      </c>
      <c r="M34">
        <v>2</v>
      </c>
      <c r="N34" t="s">
        <v>92</v>
      </c>
      <c r="O34" t="s">
        <v>93</v>
      </c>
      <c r="P34">
        <v>999</v>
      </c>
      <c r="Q34" s="1" t="s">
        <v>94</v>
      </c>
      <c r="R34" s="12">
        <v>45968</v>
      </c>
      <c r="S34" s="12">
        <v>300000</v>
      </c>
      <c r="T34" s="12">
        <v>-223242.27</v>
      </c>
      <c r="U34" s="12">
        <v>-161.63999999999999</v>
      </c>
      <c r="V34" s="12">
        <v>-223242.27</v>
      </c>
      <c r="W34" s="12">
        <v>-23217.200000000001</v>
      </c>
      <c r="X34" s="12">
        <v>2464.59</v>
      </c>
      <c r="Y34" t="str">
        <f t="shared" si="1"/>
        <v>Sit.Normal</v>
      </c>
      <c r="Z34">
        <f t="shared" ref="Z34:Z65" si="11">IF(Y34="Sit.Normal",1,IF(Y34="Riesgo potencia",2,IF(Y34="Con Problemas",3,IF(Y34="Alto Riesgo",4,IF(Y34="Irrecuperable",5,IF(Y34="Irrec Disp Tecn",6,IF(Y34="Sin identificación",0,"")))))))</f>
        <v>1</v>
      </c>
      <c r="AB34">
        <f>VLOOKUP(A34,rubros_a_considerar!$A$2:$A$13,1,FALSE)</f>
        <v>131731003</v>
      </c>
      <c r="AC34" s="2">
        <f t="shared" si="0"/>
        <v>-246459.47</v>
      </c>
      <c r="AD34" s="4">
        <f>IF(Z34&lt;=1,Diccionario!$M$2,Diccionario!$M$3)</f>
        <v>1.4999999999999999E-2</v>
      </c>
      <c r="AE34" s="93">
        <f t="shared" ref="AE34:AE65" si="12">1-(1-AD34)^(1/365)</f>
        <v>4.1406369609475746E-5</v>
      </c>
      <c r="AF34">
        <f t="shared" ref="AF34:AF65" si="13">+IFERROR(G34-$AR$1,0)</f>
        <v>193</v>
      </c>
      <c r="AG34" s="5">
        <f t="shared" ref="AG34:AG65" si="14">+IF(AF34&lt;=0,10*365,AF34)</f>
        <v>193</v>
      </c>
      <c r="AH34">
        <f t="shared" ref="AH34:AH65" si="15">+IF(Z34&lt;=1,MIN(AG34,365),AG34)</f>
        <v>193</v>
      </c>
      <c r="AI34">
        <f t="shared" ref="AI34:AI65" si="16">+(1-(AG34+1)*(1-AE34)^AG34+AG34*(1-AE34)^(AG34+1))/((1-(1-AE34)^AG34)*AE34)-0.5</f>
        <v>96.371472075492434</v>
      </c>
      <c r="AJ34" s="4">
        <f t="shared" ref="AJ34:AJ65" si="17">+IF(Z34&lt;3,AD34,1)</f>
        <v>1.4999999999999999E-2</v>
      </c>
      <c r="AK34">
        <f>IF(Z34&lt;=3,Diccionario!$O$2,IF(Z34=4,Diccionario!$O$5,Diccionario!$O$6))</f>
        <v>0.66499985814979368</v>
      </c>
      <c r="AL34">
        <f t="shared" ref="AL34:AL65" si="18">+IF(Z34&lt;=1,1,IF(Z34=2,2,3))</f>
        <v>1</v>
      </c>
      <c r="AM34" s="3">
        <f t="shared" si="10"/>
        <v>246459.47</v>
      </c>
      <c r="AN34" s="95">
        <f>MIN(AJ34*AK34*AM34*(1+'[2]Pesos escenarios'!$F$8/2),AM34)</f>
        <v>3276.6500155315975</v>
      </c>
      <c r="AO34" t="str">
        <f>IFERROR(VLOOKUP(A34,Diccionario!$C$2:$E$65,3,FALSE),"no")</f>
        <v>Prestamos Personales</v>
      </c>
    </row>
    <row r="35" spans="1:41" x14ac:dyDescent="0.35">
      <c r="A35">
        <v>171112001</v>
      </c>
      <c r="B35">
        <v>80</v>
      </c>
      <c r="C35">
        <v>54718</v>
      </c>
      <c r="D35">
        <v>42846</v>
      </c>
      <c r="E35">
        <v>0</v>
      </c>
      <c r="F35" s="1">
        <v>46142</v>
      </c>
      <c r="G35" s="1">
        <v>46218</v>
      </c>
      <c r="H35" s="1">
        <v>45853</v>
      </c>
      <c r="I35">
        <v>365</v>
      </c>
      <c r="J35">
        <v>2</v>
      </c>
      <c r="K35" s="11">
        <v>46</v>
      </c>
      <c r="L35">
        <v>2</v>
      </c>
      <c r="M35">
        <v>2</v>
      </c>
      <c r="N35" t="s">
        <v>92</v>
      </c>
      <c r="O35" t="s">
        <v>93</v>
      </c>
      <c r="P35">
        <v>999</v>
      </c>
      <c r="Q35" s="1" t="s">
        <v>94</v>
      </c>
      <c r="R35" s="12">
        <v>45853</v>
      </c>
      <c r="S35" s="12">
        <v>800000</v>
      </c>
      <c r="T35" s="12">
        <v>-226113.67</v>
      </c>
      <c r="U35" s="12">
        <v>-163.72</v>
      </c>
      <c r="V35" s="12">
        <v>-226113.67</v>
      </c>
      <c r="W35" s="12">
        <v>-3370.02</v>
      </c>
      <c r="X35" s="12">
        <v>2294.84</v>
      </c>
      <c r="Y35" t="str">
        <f t="shared" si="1"/>
        <v>Sit.Normal</v>
      </c>
      <c r="Z35">
        <f t="shared" si="11"/>
        <v>1</v>
      </c>
      <c r="AB35">
        <f>VLOOKUP(A35,rubros_a_considerar!$A$2:$A$13,1,FALSE)</f>
        <v>171112001</v>
      </c>
      <c r="AC35" s="2">
        <f t="shared" si="0"/>
        <v>-229483.69</v>
      </c>
      <c r="AD35" s="4">
        <f>IF(Z35&lt;=1,Diccionario!$M$2,Diccionario!$M$3)</f>
        <v>1.4999999999999999E-2</v>
      </c>
      <c r="AE35" s="93">
        <f t="shared" si="12"/>
        <v>4.1406369609475746E-5</v>
      </c>
      <c r="AF35">
        <f t="shared" si="13"/>
        <v>76</v>
      </c>
      <c r="AG35" s="5">
        <f t="shared" si="14"/>
        <v>76</v>
      </c>
      <c r="AH35">
        <f t="shared" si="15"/>
        <v>76</v>
      </c>
      <c r="AI35">
        <f t="shared" si="16"/>
        <v>37.980072847197015</v>
      </c>
      <c r="AJ35" s="4">
        <f t="shared" si="17"/>
        <v>1.4999999999999999E-2</v>
      </c>
      <c r="AK35">
        <f>IF(Z35&lt;=3,Diccionario!$O$2,IF(Z35=4,Diccionario!$O$5,Diccionario!$O$6))</f>
        <v>0.66499985814979368</v>
      </c>
      <c r="AL35">
        <f t="shared" si="18"/>
        <v>1</v>
      </c>
      <c r="AM35" s="3">
        <f t="shared" si="10"/>
        <v>229483.69</v>
      </c>
      <c r="AN35" s="95">
        <f>MIN(AJ35*AK35*AM35*(1+'[2]Pesos escenarios'!$F$8/2),AM35)</f>
        <v>3050.9589929847225</v>
      </c>
      <c r="AO35" t="str">
        <f>IFERROR(VLOOKUP(A35,Diccionario!$C$2:$E$65,3,FALSE),"no")</f>
        <v>Prestamos Personales</v>
      </c>
    </row>
    <row r="36" spans="1:41" x14ac:dyDescent="0.35">
      <c r="A36">
        <v>131731003</v>
      </c>
      <c r="B36">
        <v>80</v>
      </c>
      <c r="C36">
        <v>56956</v>
      </c>
      <c r="D36">
        <v>42856</v>
      </c>
      <c r="E36">
        <v>0</v>
      </c>
      <c r="F36" s="1">
        <v>46142</v>
      </c>
      <c r="G36" s="1">
        <v>46245</v>
      </c>
      <c r="H36" s="1">
        <v>45880</v>
      </c>
      <c r="I36">
        <v>360</v>
      </c>
      <c r="J36">
        <v>2</v>
      </c>
      <c r="K36" s="11">
        <v>60</v>
      </c>
      <c r="L36">
        <v>1</v>
      </c>
      <c r="M36">
        <v>2</v>
      </c>
      <c r="N36" t="s">
        <v>92</v>
      </c>
      <c r="O36" t="s">
        <v>93</v>
      </c>
      <c r="P36">
        <v>999</v>
      </c>
      <c r="Q36" s="1" t="s">
        <v>94</v>
      </c>
      <c r="R36" s="12">
        <v>45880</v>
      </c>
      <c r="S36" s="12">
        <v>500000</v>
      </c>
      <c r="T36" s="12">
        <v>-243663.42</v>
      </c>
      <c r="U36" s="12">
        <v>-176.43</v>
      </c>
      <c r="V36" s="12">
        <v>-243663.42</v>
      </c>
      <c r="W36" s="12">
        <v>-20027.12</v>
      </c>
      <c r="X36" s="12">
        <v>2636.91</v>
      </c>
      <c r="Y36" t="str">
        <f t="shared" si="1"/>
        <v>Sit.Normal</v>
      </c>
      <c r="Z36">
        <f t="shared" si="11"/>
        <v>1</v>
      </c>
      <c r="AB36">
        <f>VLOOKUP(A36,rubros_a_considerar!$A$2:$A$13,1,FALSE)</f>
        <v>131731003</v>
      </c>
      <c r="AC36" s="2">
        <f t="shared" si="0"/>
        <v>-263690.54000000004</v>
      </c>
      <c r="AD36" s="4">
        <f>IF(Z36&lt;=1,Diccionario!$M$2,Diccionario!$M$3)</f>
        <v>1.4999999999999999E-2</v>
      </c>
      <c r="AE36" s="93">
        <f t="shared" si="12"/>
        <v>4.1406369609475746E-5</v>
      </c>
      <c r="AF36">
        <f t="shared" si="13"/>
        <v>103</v>
      </c>
      <c r="AG36" s="5">
        <f t="shared" si="14"/>
        <v>103</v>
      </c>
      <c r="AH36">
        <f t="shared" si="15"/>
        <v>103</v>
      </c>
      <c r="AI36">
        <f t="shared" si="16"/>
        <v>51.463395928779278</v>
      </c>
      <c r="AJ36" s="4">
        <f t="shared" si="17"/>
        <v>1.4999999999999999E-2</v>
      </c>
      <c r="AK36">
        <f>IF(Z36&lt;=3,Diccionario!$O$2,IF(Z36=4,Diccionario!$O$5,Diccionario!$O$6))</f>
        <v>0.66499985814979368</v>
      </c>
      <c r="AL36">
        <f t="shared" si="18"/>
        <v>1</v>
      </c>
      <c r="AM36" s="3">
        <f t="shared" si="10"/>
        <v>263690.54000000004</v>
      </c>
      <c r="AN36" s="95">
        <f>MIN(AJ36*AK36*AM36*(1+'[2]Pesos escenarios'!$F$8/2),AM36)</f>
        <v>3505.7350889642644</v>
      </c>
      <c r="AO36" t="str">
        <f>IFERROR(VLOOKUP(A36,Diccionario!$C$2:$E$65,3,FALSE),"no")</f>
        <v>Prestamos Personales</v>
      </c>
    </row>
    <row r="37" spans="1:41" x14ac:dyDescent="0.35">
      <c r="A37">
        <v>171112001</v>
      </c>
      <c r="B37">
        <v>80</v>
      </c>
      <c r="C37">
        <v>83994</v>
      </c>
      <c r="D37">
        <v>42671</v>
      </c>
      <c r="E37">
        <v>0</v>
      </c>
      <c r="F37" s="1">
        <v>46142</v>
      </c>
      <c r="G37" s="1">
        <v>46226</v>
      </c>
      <c r="H37" s="1">
        <v>45496</v>
      </c>
      <c r="I37">
        <v>730</v>
      </c>
      <c r="J37">
        <v>2</v>
      </c>
      <c r="K37" s="11">
        <v>46</v>
      </c>
      <c r="L37">
        <v>2</v>
      </c>
      <c r="M37">
        <v>2</v>
      </c>
      <c r="N37" t="s">
        <v>92</v>
      </c>
      <c r="O37" t="s">
        <v>93</v>
      </c>
      <c r="P37">
        <v>999</v>
      </c>
      <c r="Q37" s="1" t="s">
        <v>94</v>
      </c>
      <c r="R37" s="12">
        <v>45496</v>
      </c>
      <c r="S37" s="12">
        <v>1500000</v>
      </c>
      <c r="T37" s="12">
        <v>-246979.72</v>
      </c>
      <c r="U37" s="12">
        <v>-178.83</v>
      </c>
      <c r="V37" s="12">
        <v>-246979.72</v>
      </c>
      <c r="W37" s="12">
        <v>-1840.51</v>
      </c>
      <c r="X37" s="12">
        <v>2488.1999999999998</v>
      </c>
      <c r="Y37" t="str">
        <f t="shared" si="1"/>
        <v>Sit.Normal</v>
      </c>
      <c r="Z37">
        <f t="shared" si="11"/>
        <v>1</v>
      </c>
      <c r="AB37">
        <f>VLOOKUP(A37,rubros_a_considerar!$A$2:$A$13,1,FALSE)</f>
        <v>171112001</v>
      </c>
      <c r="AC37" s="2">
        <f t="shared" si="0"/>
        <v>-248820.23</v>
      </c>
      <c r="AD37" s="4">
        <f>IF(Z37&lt;=1,Diccionario!$M$2,Diccionario!$M$3)</f>
        <v>1.4999999999999999E-2</v>
      </c>
      <c r="AE37" s="93">
        <f t="shared" si="12"/>
        <v>4.1406369609475746E-5</v>
      </c>
      <c r="AF37">
        <f t="shared" si="13"/>
        <v>84</v>
      </c>
      <c r="AG37" s="5">
        <f t="shared" si="14"/>
        <v>84</v>
      </c>
      <c r="AH37">
        <f t="shared" si="15"/>
        <v>84</v>
      </c>
      <c r="AI37">
        <f t="shared" si="16"/>
        <v>41.975656077090285</v>
      </c>
      <c r="AJ37" s="4">
        <f t="shared" si="17"/>
        <v>1.4999999999999999E-2</v>
      </c>
      <c r="AK37">
        <f>IF(Z37&lt;=3,Diccionario!$O$2,IF(Z37=4,Diccionario!$O$5,Diccionario!$O$6))</f>
        <v>0.66499985814979368</v>
      </c>
      <c r="AL37">
        <f t="shared" si="18"/>
        <v>1</v>
      </c>
      <c r="AM37" s="3">
        <f t="shared" si="10"/>
        <v>248820.23</v>
      </c>
      <c r="AN37" s="95">
        <f>MIN(AJ37*AK37*AM37*(1+'[2]Pesos escenarios'!$F$8/2),AM37)</f>
        <v>3308.0360454158072</v>
      </c>
      <c r="AO37" t="str">
        <f>IFERROR(VLOOKUP(A37,Diccionario!$C$2:$E$65,3,FALSE),"no")</f>
        <v>Prestamos Personales</v>
      </c>
    </row>
    <row r="38" spans="1:41" x14ac:dyDescent="0.35">
      <c r="A38">
        <v>131731003</v>
      </c>
      <c r="B38">
        <v>80</v>
      </c>
      <c r="C38">
        <v>55476</v>
      </c>
      <c r="D38">
        <v>42932</v>
      </c>
      <c r="E38">
        <v>0</v>
      </c>
      <c r="F38" s="1">
        <v>46142</v>
      </c>
      <c r="G38" s="1">
        <v>46399</v>
      </c>
      <c r="H38" s="1">
        <v>46034</v>
      </c>
      <c r="I38">
        <v>360</v>
      </c>
      <c r="J38">
        <v>2</v>
      </c>
      <c r="K38" s="11">
        <v>73</v>
      </c>
      <c r="L38">
        <v>1</v>
      </c>
      <c r="M38">
        <v>2</v>
      </c>
      <c r="N38" t="s">
        <v>92</v>
      </c>
      <c r="O38" t="s">
        <v>93</v>
      </c>
      <c r="P38">
        <v>999</v>
      </c>
      <c r="Q38" s="1" t="s">
        <v>94</v>
      </c>
      <c r="R38" s="12">
        <v>46034</v>
      </c>
      <c r="S38" s="12">
        <v>300000</v>
      </c>
      <c r="T38" s="12">
        <v>-263303.63</v>
      </c>
      <c r="U38" s="12">
        <v>-190.65</v>
      </c>
      <c r="V38" s="12">
        <v>-263303.63</v>
      </c>
      <c r="W38" s="12">
        <v>-25803.759999999998</v>
      </c>
      <c r="X38" s="12">
        <v>2891.07</v>
      </c>
      <c r="Y38" t="str">
        <f t="shared" si="1"/>
        <v>Sit.Normal</v>
      </c>
      <c r="Z38">
        <f t="shared" si="11"/>
        <v>1</v>
      </c>
      <c r="AB38">
        <f>VLOOKUP(A38,rubros_a_considerar!$A$2:$A$13,1,FALSE)</f>
        <v>131731003</v>
      </c>
      <c r="AC38" s="2">
        <f t="shared" si="0"/>
        <v>-289107.39</v>
      </c>
      <c r="AD38" s="4">
        <f>IF(Z38&lt;=1,Diccionario!$M$2,Diccionario!$M$3)</f>
        <v>1.4999999999999999E-2</v>
      </c>
      <c r="AE38" s="93">
        <f t="shared" si="12"/>
        <v>4.1406369609475746E-5</v>
      </c>
      <c r="AF38">
        <f t="shared" si="13"/>
        <v>257</v>
      </c>
      <c r="AG38" s="5">
        <f t="shared" si="14"/>
        <v>257</v>
      </c>
      <c r="AH38">
        <f t="shared" si="15"/>
        <v>257</v>
      </c>
      <c r="AI38">
        <f t="shared" si="16"/>
        <v>128.27209510301478</v>
      </c>
      <c r="AJ38" s="4">
        <f t="shared" si="17"/>
        <v>1.4999999999999999E-2</v>
      </c>
      <c r="AK38">
        <f>IF(Z38&lt;=3,Diccionario!$O$2,IF(Z38=4,Diccionario!$O$5,Diccionario!$O$6))</f>
        <v>0.66499985814979368</v>
      </c>
      <c r="AL38">
        <f t="shared" si="18"/>
        <v>1</v>
      </c>
      <c r="AM38" s="3">
        <f t="shared" si="10"/>
        <v>289107.39</v>
      </c>
      <c r="AN38" s="95">
        <f>MIN(AJ38*AK38*AM38*(1+'[2]Pesos escenarios'!$F$8/2),AM38)</f>
        <v>3843.6491563249724</v>
      </c>
      <c r="AO38" t="str">
        <f>IFERROR(VLOOKUP(A38,Diccionario!$C$2:$E$65,3,FALSE),"no")</f>
        <v>Prestamos Personales</v>
      </c>
    </row>
    <row r="39" spans="1:41" x14ac:dyDescent="0.35">
      <c r="A39">
        <v>131731003</v>
      </c>
      <c r="B39">
        <v>80</v>
      </c>
      <c r="C39">
        <v>83381</v>
      </c>
      <c r="D39">
        <v>42930</v>
      </c>
      <c r="E39">
        <v>0</v>
      </c>
      <c r="F39" s="1">
        <v>46142</v>
      </c>
      <c r="G39" s="1">
        <v>46399</v>
      </c>
      <c r="H39" s="1">
        <v>46034</v>
      </c>
      <c r="I39">
        <v>360</v>
      </c>
      <c r="J39">
        <v>2</v>
      </c>
      <c r="K39" s="11">
        <v>73</v>
      </c>
      <c r="L39">
        <v>1</v>
      </c>
      <c r="M39">
        <v>2</v>
      </c>
      <c r="N39" t="s">
        <v>92</v>
      </c>
      <c r="O39" t="s">
        <v>93</v>
      </c>
      <c r="P39">
        <v>999</v>
      </c>
      <c r="Q39" s="1" t="s">
        <v>94</v>
      </c>
      <c r="R39" s="12">
        <v>46034</v>
      </c>
      <c r="S39" s="12">
        <v>320000</v>
      </c>
      <c r="T39" s="12">
        <v>-280857.21999999997</v>
      </c>
      <c r="U39" s="12">
        <v>-203.36</v>
      </c>
      <c r="V39" s="12">
        <v>-280857.21999999997</v>
      </c>
      <c r="W39" s="12">
        <v>-27524.01</v>
      </c>
      <c r="X39" s="12">
        <v>3083.81</v>
      </c>
      <c r="Y39" t="str">
        <f t="shared" si="1"/>
        <v>Sit.Normal</v>
      </c>
      <c r="Z39">
        <f t="shared" si="11"/>
        <v>1</v>
      </c>
      <c r="AB39">
        <f>VLOOKUP(A39,rubros_a_considerar!$A$2:$A$13,1,FALSE)</f>
        <v>131731003</v>
      </c>
      <c r="AC39" s="2">
        <f t="shared" si="0"/>
        <v>-308381.23</v>
      </c>
      <c r="AD39" s="4">
        <f>IF(Z39&lt;=1,Diccionario!$M$2,Diccionario!$M$3)</f>
        <v>1.4999999999999999E-2</v>
      </c>
      <c r="AE39" s="93">
        <f t="shared" si="12"/>
        <v>4.1406369609475746E-5</v>
      </c>
      <c r="AF39">
        <f t="shared" si="13"/>
        <v>257</v>
      </c>
      <c r="AG39" s="5">
        <f t="shared" si="14"/>
        <v>257</v>
      </c>
      <c r="AH39">
        <f t="shared" si="15"/>
        <v>257</v>
      </c>
      <c r="AI39">
        <f t="shared" si="16"/>
        <v>128.27209510301478</v>
      </c>
      <c r="AJ39" s="4">
        <f t="shared" si="17"/>
        <v>1.4999999999999999E-2</v>
      </c>
      <c r="AK39">
        <f>IF(Z39&lt;=3,Diccionario!$O$2,IF(Z39=4,Diccionario!$O$5,Diccionario!$O$6))</f>
        <v>0.66499985814979368</v>
      </c>
      <c r="AL39">
        <f t="shared" si="18"/>
        <v>1</v>
      </c>
      <c r="AM39" s="3">
        <f t="shared" si="10"/>
        <v>308381.23</v>
      </c>
      <c r="AN39" s="95">
        <f>MIN(AJ39*AK39*AM39*(1+'[2]Pesos escenarios'!$F$8/2),AM39)</f>
        <v>4099.8926195416761</v>
      </c>
      <c r="AO39" t="str">
        <f>IFERROR(VLOOKUP(A39,Diccionario!$C$2:$E$65,3,FALSE),"no")</f>
        <v>Prestamos Personales</v>
      </c>
    </row>
    <row r="40" spans="1:41" x14ac:dyDescent="0.35">
      <c r="A40">
        <v>171112001</v>
      </c>
      <c r="B40">
        <v>80</v>
      </c>
      <c r="C40">
        <v>59558</v>
      </c>
      <c r="D40">
        <v>42823</v>
      </c>
      <c r="E40">
        <v>0</v>
      </c>
      <c r="F40" s="1">
        <v>46142</v>
      </c>
      <c r="G40" s="1">
        <v>46184</v>
      </c>
      <c r="H40" s="1">
        <v>45819</v>
      </c>
      <c r="I40">
        <v>365</v>
      </c>
      <c r="J40">
        <v>2</v>
      </c>
      <c r="K40" s="11">
        <v>46</v>
      </c>
      <c r="L40">
        <v>2</v>
      </c>
      <c r="M40">
        <v>2</v>
      </c>
      <c r="N40" t="s">
        <v>92</v>
      </c>
      <c r="O40" t="s">
        <v>93</v>
      </c>
      <c r="P40">
        <v>999</v>
      </c>
      <c r="Q40" s="1" t="s">
        <v>94</v>
      </c>
      <c r="R40" s="12">
        <v>45819</v>
      </c>
      <c r="S40" s="12">
        <v>1500000</v>
      </c>
      <c r="T40" s="12">
        <v>-286913.68</v>
      </c>
      <c r="U40" s="12">
        <v>-207.74</v>
      </c>
      <c r="V40" s="12">
        <v>-286913.68</v>
      </c>
      <c r="W40" s="12">
        <v>-4810.72</v>
      </c>
      <c r="X40" s="12">
        <v>2917.24</v>
      </c>
      <c r="Y40" t="str">
        <f t="shared" si="1"/>
        <v>Sit.Normal</v>
      </c>
      <c r="Z40">
        <f t="shared" si="11"/>
        <v>1</v>
      </c>
      <c r="AB40">
        <f>VLOOKUP(A40,rubros_a_considerar!$A$2:$A$13,1,FALSE)</f>
        <v>171112001</v>
      </c>
      <c r="AC40" s="2">
        <f t="shared" si="0"/>
        <v>-291724.39999999997</v>
      </c>
      <c r="AD40" s="4">
        <f>IF(Z40&lt;=1,Diccionario!$M$2,Diccionario!$M$3)</f>
        <v>1.4999999999999999E-2</v>
      </c>
      <c r="AE40" s="93">
        <f t="shared" si="12"/>
        <v>4.1406369609475746E-5</v>
      </c>
      <c r="AF40">
        <f t="shared" si="13"/>
        <v>42</v>
      </c>
      <c r="AG40" s="5">
        <f t="shared" si="14"/>
        <v>42</v>
      </c>
      <c r="AH40">
        <f t="shared" si="15"/>
        <v>42</v>
      </c>
      <c r="AI40">
        <f t="shared" si="16"/>
        <v>20.993916594060693</v>
      </c>
      <c r="AJ40" s="4">
        <f t="shared" si="17"/>
        <v>1.4999999999999999E-2</v>
      </c>
      <c r="AK40">
        <f>IF(Z40&lt;=3,Diccionario!$O$2,IF(Z40=4,Diccionario!$O$5,Diccionario!$O$6))</f>
        <v>0.66499985814979368</v>
      </c>
      <c r="AL40">
        <f t="shared" si="18"/>
        <v>1</v>
      </c>
      <c r="AM40" s="3">
        <f t="shared" si="10"/>
        <v>291724.39999999997</v>
      </c>
      <c r="AN40" s="95">
        <f>MIN(AJ40*AK40*AM40*(1+'[2]Pesos escenarios'!$F$8/2),AM40)</f>
        <v>3878.4420001834214</v>
      </c>
      <c r="AO40" t="str">
        <f>IFERROR(VLOOKUP(A40,Diccionario!$C$2:$E$65,3,FALSE),"no")</f>
        <v>Prestamos Personales</v>
      </c>
    </row>
    <row r="41" spans="1:41" x14ac:dyDescent="0.35">
      <c r="A41">
        <v>131731003</v>
      </c>
      <c r="B41">
        <v>80</v>
      </c>
      <c r="C41">
        <v>86044</v>
      </c>
      <c r="D41">
        <v>42902</v>
      </c>
      <c r="E41">
        <v>0</v>
      </c>
      <c r="F41" s="1">
        <v>46142</v>
      </c>
      <c r="G41" s="1">
        <v>46328</v>
      </c>
      <c r="H41" s="1">
        <v>45961</v>
      </c>
      <c r="I41">
        <v>362</v>
      </c>
      <c r="J41">
        <v>2</v>
      </c>
      <c r="K41" s="11">
        <v>73</v>
      </c>
      <c r="L41">
        <v>1</v>
      </c>
      <c r="M41">
        <v>2</v>
      </c>
      <c r="N41" t="s">
        <v>92</v>
      </c>
      <c r="O41" t="s">
        <v>93</v>
      </c>
      <c r="P41">
        <v>999</v>
      </c>
      <c r="Q41" s="1" t="s">
        <v>94</v>
      </c>
      <c r="R41" s="12">
        <v>45961</v>
      </c>
      <c r="S41" s="12">
        <v>500000</v>
      </c>
      <c r="T41" s="12">
        <v>-333615.31</v>
      </c>
      <c r="U41" s="12">
        <v>-241.56</v>
      </c>
      <c r="V41" s="12">
        <v>-333615.31</v>
      </c>
      <c r="W41" s="12">
        <v>-20016.919999999998</v>
      </c>
      <c r="X41" s="12">
        <v>3536.32</v>
      </c>
      <c r="Y41" t="str">
        <f t="shared" si="1"/>
        <v>Sit.Normal</v>
      </c>
      <c r="Z41">
        <f t="shared" si="11"/>
        <v>1</v>
      </c>
      <c r="AB41">
        <f>VLOOKUP(A41,rubros_a_considerar!$A$2:$A$13,1,FALSE)</f>
        <v>131731003</v>
      </c>
      <c r="AC41" s="2">
        <f t="shared" si="0"/>
        <v>-353632.23</v>
      </c>
      <c r="AD41" s="4">
        <f>IF(Z41&lt;=1,Diccionario!$M$2,Diccionario!$M$3)</f>
        <v>1.4999999999999999E-2</v>
      </c>
      <c r="AE41" s="93">
        <f t="shared" si="12"/>
        <v>4.1406369609475746E-5</v>
      </c>
      <c r="AF41">
        <f t="shared" si="13"/>
        <v>186</v>
      </c>
      <c r="AG41" s="5">
        <f t="shared" si="14"/>
        <v>186</v>
      </c>
      <c r="AH41">
        <f t="shared" si="15"/>
        <v>186</v>
      </c>
      <c r="AI41">
        <f t="shared" si="16"/>
        <v>92.88062650030875</v>
      </c>
      <c r="AJ41" s="4">
        <f t="shared" si="17"/>
        <v>1.4999999999999999E-2</v>
      </c>
      <c r="AK41">
        <f>IF(Z41&lt;=3,Diccionario!$O$2,IF(Z41=4,Diccionario!$O$5,Diccionario!$O$6))</f>
        <v>0.66499985814979368</v>
      </c>
      <c r="AL41">
        <f t="shared" si="18"/>
        <v>1</v>
      </c>
      <c r="AM41" s="3">
        <f t="shared" si="10"/>
        <v>353632.23</v>
      </c>
      <c r="AN41" s="95">
        <f>MIN(AJ41*AK41*AM41*(1+'[2]Pesos escenarios'!$F$8/2),AM41)</f>
        <v>4701.4994064621396</v>
      </c>
      <c r="AO41" t="str">
        <f>IFERROR(VLOOKUP(A41,Diccionario!$C$2:$E$65,3,FALSE),"no")</f>
        <v>Prestamos Personales</v>
      </c>
    </row>
    <row r="42" spans="1:41" x14ac:dyDescent="0.35">
      <c r="A42">
        <v>131731003</v>
      </c>
      <c r="B42">
        <v>80</v>
      </c>
      <c r="C42">
        <v>85978</v>
      </c>
      <c r="D42">
        <v>42891</v>
      </c>
      <c r="E42">
        <v>0</v>
      </c>
      <c r="F42" s="1">
        <v>46142</v>
      </c>
      <c r="G42" s="1">
        <v>46302</v>
      </c>
      <c r="H42" s="1">
        <v>45937</v>
      </c>
      <c r="I42">
        <v>360</v>
      </c>
      <c r="J42">
        <v>2</v>
      </c>
      <c r="K42" s="11">
        <v>73</v>
      </c>
      <c r="L42">
        <v>1</v>
      </c>
      <c r="M42">
        <v>2</v>
      </c>
      <c r="N42" t="s">
        <v>92</v>
      </c>
      <c r="O42" t="s">
        <v>93</v>
      </c>
      <c r="P42">
        <v>999</v>
      </c>
      <c r="Q42" s="1" t="s">
        <v>94</v>
      </c>
      <c r="R42" s="12">
        <v>45937</v>
      </c>
      <c r="S42" s="12">
        <v>600000</v>
      </c>
      <c r="T42" s="12">
        <v>-352221.74</v>
      </c>
      <c r="U42" s="12">
        <v>-255.03</v>
      </c>
      <c r="V42" s="12">
        <v>-352221.74</v>
      </c>
      <c r="W42" s="12">
        <v>-16906.64</v>
      </c>
      <c r="X42" s="12">
        <v>3691.28</v>
      </c>
      <c r="Y42" t="str">
        <f t="shared" si="1"/>
        <v>Sit.Normal</v>
      </c>
      <c r="Z42">
        <f t="shared" si="11"/>
        <v>1</v>
      </c>
      <c r="AB42">
        <f>VLOOKUP(A42,rubros_a_considerar!$A$2:$A$13,1,FALSE)</f>
        <v>131731003</v>
      </c>
      <c r="AC42" s="2">
        <f t="shared" si="0"/>
        <v>-369128.38</v>
      </c>
      <c r="AD42" s="4">
        <f>IF(Z42&lt;=1,Diccionario!$M$2,Diccionario!$M$3)</f>
        <v>1.4999999999999999E-2</v>
      </c>
      <c r="AE42" s="93">
        <f t="shared" si="12"/>
        <v>4.1406369609475746E-5</v>
      </c>
      <c r="AF42">
        <f t="shared" si="13"/>
        <v>160</v>
      </c>
      <c r="AG42" s="5">
        <f t="shared" si="14"/>
        <v>160</v>
      </c>
      <c r="AH42">
        <f t="shared" si="15"/>
        <v>160</v>
      </c>
      <c r="AI42">
        <f t="shared" si="16"/>
        <v>79.911668080215819</v>
      </c>
      <c r="AJ42" s="4">
        <f t="shared" si="17"/>
        <v>1.4999999999999999E-2</v>
      </c>
      <c r="AK42">
        <f>IF(Z42&lt;=3,Diccionario!$O$2,IF(Z42=4,Diccionario!$O$5,Diccionario!$O$6))</f>
        <v>0.66499985814979368</v>
      </c>
      <c r="AL42">
        <f t="shared" si="18"/>
        <v>1</v>
      </c>
      <c r="AM42" s="3">
        <f t="shared" si="10"/>
        <v>369128.38</v>
      </c>
      <c r="AN42" s="95">
        <f>MIN(AJ42*AK42*AM42*(1+'[2]Pesos escenarios'!$F$8/2),AM42)</f>
        <v>4907.5189200891873</v>
      </c>
      <c r="AO42" t="str">
        <f>IFERROR(VLOOKUP(A42,Diccionario!$C$2:$E$65,3,FALSE),"no")</f>
        <v>Prestamos Personales</v>
      </c>
    </row>
    <row r="43" spans="1:41" x14ac:dyDescent="0.35">
      <c r="A43">
        <v>131731003</v>
      </c>
      <c r="B43">
        <v>80</v>
      </c>
      <c r="C43">
        <v>57332</v>
      </c>
      <c r="D43">
        <v>42861</v>
      </c>
      <c r="E43">
        <v>0</v>
      </c>
      <c r="F43" s="1">
        <v>46142</v>
      </c>
      <c r="G43" s="1">
        <v>46255</v>
      </c>
      <c r="H43" s="1">
        <v>45890</v>
      </c>
      <c r="I43">
        <v>360</v>
      </c>
      <c r="J43">
        <v>2</v>
      </c>
      <c r="K43" s="11">
        <v>52</v>
      </c>
      <c r="L43">
        <v>1</v>
      </c>
      <c r="M43">
        <v>2</v>
      </c>
      <c r="N43" t="s">
        <v>92</v>
      </c>
      <c r="O43" t="s">
        <v>93</v>
      </c>
      <c r="P43">
        <v>999</v>
      </c>
      <c r="Q43" s="1" t="s">
        <v>94</v>
      </c>
      <c r="R43" s="12">
        <v>45890</v>
      </c>
      <c r="S43" s="12">
        <v>800000</v>
      </c>
      <c r="T43" s="12">
        <v>-384036.09</v>
      </c>
      <c r="U43" s="12">
        <v>-278.07</v>
      </c>
      <c r="V43" s="12">
        <v>-384036.09</v>
      </c>
      <c r="W43" s="12">
        <v>-19773.400000000001</v>
      </c>
      <c r="X43" s="12">
        <v>4038.09</v>
      </c>
      <c r="Y43" t="str">
        <f t="shared" si="1"/>
        <v>Sit.Normal</v>
      </c>
      <c r="Z43">
        <f t="shared" si="11"/>
        <v>1</v>
      </c>
      <c r="AB43">
        <f>VLOOKUP(A43,rubros_a_considerar!$A$2:$A$13,1,FALSE)</f>
        <v>131731003</v>
      </c>
      <c r="AC43" s="2">
        <f t="shared" si="0"/>
        <v>-403809.49000000005</v>
      </c>
      <c r="AD43" s="4">
        <f>IF(Z43&lt;=1,Diccionario!$M$2,Diccionario!$M$3)</f>
        <v>1.4999999999999999E-2</v>
      </c>
      <c r="AE43" s="93">
        <f t="shared" si="12"/>
        <v>4.1406369609475746E-5</v>
      </c>
      <c r="AF43">
        <f t="shared" si="13"/>
        <v>113</v>
      </c>
      <c r="AG43" s="5">
        <f t="shared" si="14"/>
        <v>113</v>
      </c>
      <c r="AH43">
        <f t="shared" si="15"/>
        <v>113</v>
      </c>
      <c r="AI43">
        <f t="shared" si="16"/>
        <v>56.45594271403921</v>
      </c>
      <c r="AJ43" s="4">
        <f t="shared" si="17"/>
        <v>1.4999999999999999E-2</v>
      </c>
      <c r="AK43">
        <f>IF(Z43&lt;=3,Diccionario!$O$2,IF(Z43=4,Diccionario!$O$5,Diccionario!$O$6))</f>
        <v>0.66499985814979368</v>
      </c>
      <c r="AL43">
        <f t="shared" si="18"/>
        <v>1</v>
      </c>
      <c r="AM43" s="3">
        <f t="shared" si="10"/>
        <v>403809.49000000005</v>
      </c>
      <c r="AN43" s="95">
        <f>MIN(AJ43*AK43*AM43*(1+'[2]Pesos escenarios'!$F$8/2),AM43)</f>
        <v>5368.6002476606263</v>
      </c>
      <c r="AO43" t="str">
        <f>IFERROR(VLOOKUP(A43,Diccionario!$C$2:$E$65,3,FALSE),"no")</f>
        <v>Prestamos Personales</v>
      </c>
    </row>
    <row r="44" spans="1:41" x14ac:dyDescent="0.35">
      <c r="A44">
        <v>131731003</v>
      </c>
      <c r="B44">
        <v>80</v>
      </c>
      <c r="C44">
        <v>86245</v>
      </c>
      <c r="D44">
        <v>42921</v>
      </c>
      <c r="E44">
        <v>0</v>
      </c>
      <c r="F44" s="1">
        <v>46142</v>
      </c>
      <c r="G44" s="1">
        <v>46391</v>
      </c>
      <c r="H44" s="1">
        <v>46024</v>
      </c>
      <c r="I44">
        <v>362</v>
      </c>
      <c r="J44">
        <v>2</v>
      </c>
      <c r="K44" s="11">
        <v>73</v>
      </c>
      <c r="L44">
        <v>1</v>
      </c>
      <c r="M44">
        <v>2</v>
      </c>
      <c r="N44" t="s">
        <v>92</v>
      </c>
      <c r="O44" t="s">
        <v>93</v>
      </c>
      <c r="P44">
        <v>999</v>
      </c>
      <c r="Q44" s="1" t="s">
        <v>94</v>
      </c>
      <c r="R44" s="12">
        <v>46024</v>
      </c>
      <c r="S44" s="12">
        <v>450000</v>
      </c>
      <c r="T44" s="12">
        <v>-394970.77</v>
      </c>
      <c r="U44" s="12">
        <v>-285.98</v>
      </c>
      <c r="V44" s="12">
        <v>-394970.77</v>
      </c>
      <c r="W44" s="12">
        <v>-44865.69</v>
      </c>
      <c r="X44" s="12">
        <v>4398.3599999999997</v>
      </c>
      <c r="Y44" t="str">
        <f t="shared" si="1"/>
        <v>Sit.Normal</v>
      </c>
      <c r="Z44">
        <f t="shared" si="11"/>
        <v>1</v>
      </c>
      <c r="AB44">
        <f>VLOOKUP(A44,rubros_a_considerar!$A$2:$A$13,1,FALSE)</f>
        <v>131731003</v>
      </c>
      <c r="AC44" s="2">
        <f t="shared" si="0"/>
        <v>-439836.46</v>
      </c>
      <c r="AD44" s="4">
        <f>IF(Z44&lt;=1,Diccionario!$M$2,Diccionario!$M$3)</f>
        <v>1.4999999999999999E-2</v>
      </c>
      <c r="AE44" s="93">
        <f t="shared" si="12"/>
        <v>4.1406369609475746E-5</v>
      </c>
      <c r="AF44">
        <f t="shared" si="13"/>
        <v>249</v>
      </c>
      <c r="AG44" s="5">
        <f t="shared" si="14"/>
        <v>249</v>
      </c>
      <c r="AH44">
        <f t="shared" si="15"/>
        <v>249</v>
      </c>
      <c r="AI44">
        <f t="shared" si="16"/>
        <v>124.28606307906742</v>
      </c>
      <c r="AJ44" s="4">
        <f t="shared" si="17"/>
        <v>1.4999999999999999E-2</v>
      </c>
      <c r="AK44">
        <f>IF(Z44&lt;=3,Diccionario!$O$2,IF(Z44=4,Diccionario!$O$5,Diccionario!$O$6))</f>
        <v>0.66499985814979368</v>
      </c>
      <c r="AL44">
        <f t="shared" si="18"/>
        <v>1</v>
      </c>
      <c r="AM44" s="3">
        <f t="shared" si="10"/>
        <v>439836.46</v>
      </c>
      <c r="AN44" s="95">
        <f>MIN(AJ44*AK44*AM44*(1+'[2]Pesos escenarios'!$F$8/2),AM44)</f>
        <v>5847.5746275457104</v>
      </c>
      <c r="AO44" t="str">
        <f>IFERROR(VLOOKUP(A44,Diccionario!$C$2:$E$65,3,FALSE),"no")</f>
        <v>Prestamos Personales</v>
      </c>
    </row>
    <row r="45" spans="1:41" x14ac:dyDescent="0.35">
      <c r="A45">
        <v>131731003</v>
      </c>
      <c r="B45">
        <v>80</v>
      </c>
      <c r="C45">
        <v>60068</v>
      </c>
      <c r="D45">
        <v>42907</v>
      </c>
      <c r="E45">
        <v>0</v>
      </c>
      <c r="F45" s="1">
        <v>46142</v>
      </c>
      <c r="G45" s="1">
        <v>46336</v>
      </c>
      <c r="H45" s="1">
        <v>45971</v>
      </c>
      <c r="I45">
        <v>360</v>
      </c>
      <c r="J45">
        <v>2</v>
      </c>
      <c r="K45" s="11">
        <v>73</v>
      </c>
      <c r="L45">
        <v>1</v>
      </c>
      <c r="M45">
        <v>2</v>
      </c>
      <c r="N45" t="s">
        <v>92</v>
      </c>
      <c r="O45" t="s">
        <v>93</v>
      </c>
      <c r="P45">
        <v>999</v>
      </c>
      <c r="Q45" s="1" t="s">
        <v>94</v>
      </c>
      <c r="R45" s="12">
        <v>45971</v>
      </c>
      <c r="S45" s="12">
        <v>600000</v>
      </c>
      <c r="T45" s="12">
        <v>-399506.68</v>
      </c>
      <c r="U45" s="12">
        <v>-289.27</v>
      </c>
      <c r="V45" s="12">
        <v>-399506.68</v>
      </c>
      <c r="W45" s="12">
        <v>-16779.28</v>
      </c>
      <c r="X45" s="12">
        <v>4162.8599999999997</v>
      </c>
      <c r="Y45" t="str">
        <f t="shared" si="1"/>
        <v>Sit.Normal</v>
      </c>
      <c r="Z45">
        <f t="shared" si="11"/>
        <v>1</v>
      </c>
      <c r="AB45">
        <f>VLOOKUP(A45,rubros_a_considerar!$A$2:$A$13,1,FALSE)</f>
        <v>131731003</v>
      </c>
      <c r="AC45" s="2">
        <f t="shared" si="0"/>
        <v>-416285.95999999996</v>
      </c>
      <c r="AD45" s="4">
        <f>IF(Z45&lt;=1,Diccionario!$M$2,Diccionario!$M$3)</f>
        <v>1.4999999999999999E-2</v>
      </c>
      <c r="AE45" s="93">
        <f t="shared" si="12"/>
        <v>4.1406369609475746E-5</v>
      </c>
      <c r="AF45">
        <f t="shared" si="13"/>
        <v>194</v>
      </c>
      <c r="AG45" s="5">
        <f t="shared" si="14"/>
        <v>194</v>
      </c>
      <c r="AH45">
        <f t="shared" si="15"/>
        <v>194</v>
      </c>
      <c r="AI45">
        <f t="shared" si="16"/>
        <v>96.870136749490541</v>
      </c>
      <c r="AJ45" s="4">
        <f t="shared" si="17"/>
        <v>1.4999999999999999E-2</v>
      </c>
      <c r="AK45">
        <f>IF(Z45&lt;=3,Diccionario!$O$2,IF(Z45=4,Diccionario!$O$5,Diccionario!$O$6))</f>
        <v>0.66499985814979368</v>
      </c>
      <c r="AL45">
        <f t="shared" si="18"/>
        <v>1</v>
      </c>
      <c r="AM45" s="3">
        <f t="shared" si="10"/>
        <v>416285.95999999996</v>
      </c>
      <c r="AN45" s="95">
        <f>MIN(AJ45*AK45*AM45*(1+'[2]Pesos escenarios'!$F$8/2),AM45)</f>
        <v>5534.4734665687056</v>
      </c>
      <c r="AO45" t="str">
        <f>IFERROR(VLOOKUP(A45,Diccionario!$C$2:$E$65,3,FALSE),"no")</f>
        <v>Prestamos Personales</v>
      </c>
    </row>
    <row r="46" spans="1:41" x14ac:dyDescent="0.35">
      <c r="A46">
        <v>131731003</v>
      </c>
      <c r="B46">
        <v>80</v>
      </c>
      <c r="C46">
        <v>85351</v>
      </c>
      <c r="D46">
        <v>42884</v>
      </c>
      <c r="E46">
        <v>0</v>
      </c>
      <c r="F46" s="1">
        <v>46142</v>
      </c>
      <c r="G46" s="1">
        <v>46300</v>
      </c>
      <c r="H46" s="1">
        <v>45933</v>
      </c>
      <c r="I46">
        <v>362</v>
      </c>
      <c r="J46">
        <v>2</v>
      </c>
      <c r="K46" s="11">
        <v>73</v>
      </c>
      <c r="L46">
        <v>1</v>
      </c>
      <c r="M46">
        <v>2</v>
      </c>
      <c r="N46" t="s">
        <v>92</v>
      </c>
      <c r="O46" t="s">
        <v>93</v>
      </c>
      <c r="P46">
        <v>999</v>
      </c>
      <c r="Q46" s="1" t="s">
        <v>94</v>
      </c>
      <c r="R46" s="12">
        <v>45933</v>
      </c>
      <c r="S46" s="12">
        <v>800000</v>
      </c>
      <c r="T46" s="12">
        <v>-469144.17</v>
      </c>
      <c r="U46" s="12">
        <v>-339.69</v>
      </c>
      <c r="V46" s="12">
        <v>-469144.17</v>
      </c>
      <c r="W46" s="12">
        <v>-26272.07</v>
      </c>
      <c r="X46" s="12">
        <v>4954.16</v>
      </c>
      <c r="Y46" t="str">
        <f t="shared" si="1"/>
        <v>Sit.Normal</v>
      </c>
      <c r="Z46">
        <f t="shared" si="11"/>
        <v>1</v>
      </c>
      <c r="AB46">
        <f>VLOOKUP(A46,rubros_a_considerar!$A$2:$A$13,1,FALSE)</f>
        <v>131731003</v>
      </c>
      <c r="AC46" s="2">
        <f t="shared" si="0"/>
        <v>-495416.24</v>
      </c>
      <c r="AD46" s="4">
        <f>IF(Z46&lt;=1,Diccionario!$M$2,Diccionario!$M$3)</f>
        <v>1.4999999999999999E-2</v>
      </c>
      <c r="AE46" s="93">
        <f t="shared" si="12"/>
        <v>4.1406369609475746E-5</v>
      </c>
      <c r="AF46">
        <f t="shared" si="13"/>
        <v>158</v>
      </c>
      <c r="AG46" s="5">
        <f t="shared" si="14"/>
        <v>158</v>
      </c>
      <c r="AH46">
        <f t="shared" si="15"/>
        <v>158</v>
      </c>
      <c r="AI46">
        <f t="shared" si="16"/>
        <v>78.913862596205178</v>
      </c>
      <c r="AJ46" s="4">
        <f t="shared" si="17"/>
        <v>1.4999999999999999E-2</v>
      </c>
      <c r="AK46">
        <f>IF(Z46&lt;=3,Diccionario!$O$2,IF(Z46=4,Diccionario!$O$5,Diccionario!$O$6))</f>
        <v>0.66499985814979368</v>
      </c>
      <c r="AL46">
        <f t="shared" si="18"/>
        <v>1</v>
      </c>
      <c r="AM46" s="3">
        <f t="shared" si="10"/>
        <v>495416.24</v>
      </c>
      <c r="AN46" s="95">
        <f>MIN(AJ46*AK46*AM46*(1+'[2]Pesos escenarios'!$F$8/2),AM46)</f>
        <v>6586.5013443817188</v>
      </c>
      <c r="AO46" t="str">
        <f>IFERROR(VLOOKUP(A46,Diccionario!$C$2:$E$65,3,FALSE),"no")</f>
        <v>Prestamos Personales</v>
      </c>
    </row>
    <row r="47" spans="1:41" x14ac:dyDescent="0.35">
      <c r="A47">
        <v>131731003</v>
      </c>
      <c r="B47">
        <v>80</v>
      </c>
      <c r="C47">
        <v>86807</v>
      </c>
      <c r="D47">
        <v>42880</v>
      </c>
      <c r="E47">
        <v>0</v>
      </c>
      <c r="F47" s="1">
        <v>46142</v>
      </c>
      <c r="G47" s="1">
        <v>46290</v>
      </c>
      <c r="H47" s="1">
        <v>45925</v>
      </c>
      <c r="I47">
        <v>360</v>
      </c>
      <c r="J47">
        <v>2</v>
      </c>
      <c r="K47" s="11">
        <v>73</v>
      </c>
      <c r="L47">
        <v>1</v>
      </c>
      <c r="M47">
        <v>2</v>
      </c>
      <c r="N47" t="s">
        <v>92</v>
      </c>
      <c r="O47" t="s">
        <v>93</v>
      </c>
      <c r="P47">
        <v>999</v>
      </c>
      <c r="Q47" s="1" t="s">
        <v>94</v>
      </c>
      <c r="R47" s="12">
        <v>45925</v>
      </c>
      <c r="S47" s="12">
        <v>800000</v>
      </c>
      <c r="T47" s="12">
        <v>-469221.78</v>
      </c>
      <c r="U47" s="12">
        <v>-339.75</v>
      </c>
      <c r="V47" s="12">
        <v>-469221.78</v>
      </c>
      <c r="W47" s="12">
        <v>-33259.83</v>
      </c>
      <c r="X47" s="12">
        <v>5024.82</v>
      </c>
      <c r="Y47" t="str">
        <f t="shared" si="1"/>
        <v>Sit.Normal</v>
      </c>
      <c r="Z47">
        <f t="shared" si="11"/>
        <v>1</v>
      </c>
      <c r="AB47">
        <f>VLOOKUP(A47,rubros_a_considerar!$A$2:$A$13,1,FALSE)</f>
        <v>131731003</v>
      </c>
      <c r="AC47" s="2">
        <f t="shared" si="0"/>
        <v>-502481.61000000004</v>
      </c>
      <c r="AD47" s="4">
        <f>IF(Z47&lt;=1,Diccionario!$M$2,Diccionario!$M$3)</f>
        <v>1.4999999999999999E-2</v>
      </c>
      <c r="AE47" s="93">
        <f t="shared" si="12"/>
        <v>4.1406369609475746E-5</v>
      </c>
      <c r="AF47" s="5">
        <f t="shared" si="13"/>
        <v>148</v>
      </c>
      <c r="AG47" s="5">
        <f t="shared" si="14"/>
        <v>148</v>
      </c>
      <c r="AH47">
        <f t="shared" si="15"/>
        <v>148</v>
      </c>
      <c r="AI47">
        <f t="shared" si="16"/>
        <v>73.924421515504264</v>
      </c>
      <c r="AJ47" s="4">
        <f t="shared" si="17"/>
        <v>1.4999999999999999E-2</v>
      </c>
      <c r="AK47">
        <f>IF(Z47&lt;=3,Diccionario!$O$2,IF(Z47=4,Diccionario!$O$5,Diccionario!$O$6))</f>
        <v>0.66499985814979368</v>
      </c>
      <c r="AL47">
        <f t="shared" si="18"/>
        <v>1</v>
      </c>
      <c r="AM47" s="3">
        <f t="shared" si="10"/>
        <v>502481.61000000004</v>
      </c>
      <c r="AN47" s="95">
        <f>MIN(AJ47*AK47*AM47*(1+'[2]Pesos escenarios'!$F$8/2),AM47)</f>
        <v>6680.4346175492556</v>
      </c>
      <c r="AO47" t="str">
        <f>IFERROR(VLOOKUP(A47,Diccionario!$C$2:$E$65,3,FALSE),"no")</f>
        <v>Prestamos Personales</v>
      </c>
    </row>
    <row r="48" spans="1:41" x14ac:dyDescent="0.35">
      <c r="A48">
        <v>171112001</v>
      </c>
      <c r="B48">
        <v>80</v>
      </c>
      <c r="C48">
        <v>83994</v>
      </c>
      <c r="D48">
        <v>42876</v>
      </c>
      <c r="E48">
        <v>0</v>
      </c>
      <c r="F48" s="1">
        <v>46142</v>
      </c>
      <c r="G48" s="1">
        <v>46273</v>
      </c>
      <c r="H48" s="1">
        <v>45908</v>
      </c>
      <c r="I48">
        <v>365</v>
      </c>
      <c r="J48">
        <v>2</v>
      </c>
      <c r="K48" s="11">
        <v>46</v>
      </c>
      <c r="L48">
        <v>2</v>
      </c>
      <c r="M48">
        <v>2</v>
      </c>
      <c r="N48" t="s">
        <v>92</v>
      </c>
      <c r="O48" t="s">
        <v>93</v>
      </c>
      <c r="P48">
        <v>999</v>
      </c>
      <c r="Q48" s="1" t="s">
        <v>94</v>
      </c>
      <c r="R48" s="12">
        <v>45908</v>
      </c>
      <c r="S48" s="12">
        <v>1000000</v>
      </c>
      <c r="T48" s="12">
        <v>-482380.09</v>
      </c>
      <c r="U48" s="12">
        <v>-349.27</v>
      </c>
      <c r="V48" s="12">
        <v>-482380.09</v>
      </c>
      <c r="W48" s="12">
        <v>-16718.099999999999</v>
      </c>
      <c r="X48" s="12">
        <v>4990.9799999999996</v>
      </c>
      <c r="Y48" t="str">
        <f t="shared" si="1"/>
        <v>Sit.Normal</v>
      </c>
      <c r="Z48">
        <f t="shared" si="11"/>
        <v>1</v>
      </c>
      <c r="AB48">
        <f>VLOOKUP(A48,rubros_a_considerar!$A$2:$A$13,1,FALSE)</f>
        <v>171112001</v>
      </c>
      <c r="AC48" s="2">
        <f t="shared" si="0"/>
        <v>-499098.19</v>
      </c>
      <c r="AD48" s="4">
        <f>IF(Z48&lt;=1,Diccionario!$M$2,Diccionario!$M$3)</f>
        <v>1.4999999999999999E-2</v>
      </c>
      <c r="AE48" s="93">
        <f t="shared" si="12"/>
        <v>4.1406369609475746E-5</v>
      </c>
      <c r="AF48">
        <f t="shared" si="13"/>
        <v>131</v>
      </c>
      <c r="AG48" s="5">
        <f t="shared" si="14"/>
        <v>131</v>
      </c>
      <c r="AH48">
        <f t="shared" si="15"/>
        <v>131</v>
      </c>
      <c r="AI48">
        <f t="shared" si="16"/>
        <v>65.440787671206465</v>
      </c>
      <c r="AJ48" s="4">
        <f t="shared" si="17"/>
        <v>1.4999999999999999E-2</v>
      </c>
      <c r="AK48">
        <f>IF(Z48&lt;=3,Diccionario!$O$2,IF(Z48=4,Diccionario!$O$5,Diccionario!$O$6))</f>
        <v>0.66499985814979368</v>
      </c>
      <c r="AL48">
        <f t="shared" si="18"/>
        <v>1</v>
      </c>
      <c r="AM48" s="3">
        <f t="shared" si="10"/>
        <v>499098.19</v>
      </c>
      <c r="AN48" s="95">
        <f>MIN(AJ48*AK48*AM48*(1+'[2]Pesos escenarios'!$F$8/2),AM48)</f>
        <v>6635.4524417961793</v>
      </c>
      <c r="AO48" t="str">
        <f>IFERROR(VLOOKUP(A48,Diccionario!$C$2:$E$65,3,FALSE),"no")</f>
        <v>Prestamos Personales</v>
      </c>
    </row>
    <row r="49" spans="1:41" x14ac:dyDescent="0.35">
      <c r="A49">
        <v>131731003</v>
      </c>
      <c r="B49">
        <v>80</v>
      </c>
      <c r="C49">
        <v>86517</v>
      </c>
      <c r="D49">
        <v>42978</v>
      </c>
      <c r="E49">
        <v>0</v>
      </c>
      <c r="F49" s="1">
        <v>46142</v>
      </c>
      <c r="G49" s="1">
        <v>46496</v>
      </c>
      <c r="H49" s="1">
        <v>46129</v>
      </c>
      <c r="I49">
        <v>362</v>
      </c>
      <c r="J49">
        <v>2</v>
      </c>
      <c r="K49" s="11">
        <v>73</v>
      </c>
      <c r="L49">
        <v>1</v>
      </c>
      <c r="M49">
        <v>2</v>
      </c>
      <c r="N49" t="s">
        <v>92</v>
      </c>
      <c r="O49" t="s">
        <v>93</v>
      </c>
      <c r="P49">
        <v>999</v>
      </c>
      <c r="Q49" s="1" t="s">
        <v>94</v>
      </c>
      <c r="R49" s="12">
        <v>46129</v>
      </c>
      <c r="S49" s="12">
        <v>500000</v>
      </c>
      <c r="T49" s="12">
        <v>-500000</v>
      </c>
      <c r="U49" s="12">
        <v>-362.03</v>
      </c>
      <c r="V49" s="12">
        <v>-500000</v>
      </c>
      <c r="W49" s="12">
        <v>-14000</v>
      </c>
      <c r="X49" s="12">
        <v>5140</v>
      </c>
      <c r="Y49" t="str">
        <f t="shared" si="1"/>
        <v>Sit.Normal</v>
      </c>
      <c r="Z49">
        <f t="shared" si="11"/>
        <v>1</v>
      </c>
      <c r="AB49">
        <f>VLOOKUP(A49,rubros_a_considerar!$A$2:$A$13,1,FALSE)</f>
        <v>131731003</v>
      </c>
      <c r="AC49" s="2">
        <f t="shared" si="0"/>
        <v>-514000</v>
      </c>
      <c r="AD49" s="4">
        <f>IF(Z49&lt;=1,Diccionario!$M$2,Diccionario!$M$3)</f>
        <v>1.4999999999999999E-2</v>
      </c>
      <c r="AE49" s="93">
        <f t="shared" si="12"/>
        <v>4.1406369609475746E-5</v>
      </c>
      <c r="AF49">
        <f t="shared" si="13"/>
        <v>354</v>
      </c>
      <c r="AG49" s="5">
        <f t="shared" si="14"/>
        <v>354</v>
      </c>
      <c r="AH49">
        <f t="shared" si="15"/>
        <v>354</v>
      </c>
      <c r="AI49">
        <f t="shared" si="16"/>
        <v>176.56758931518397</v>
      </c>
      <c r="AJ49" s="4">
        <f t="shared" si="17"/>
        <v>1.4999999999999999E-2</v>
      </c>
      <c r="AK49">
        <f>IF(Z49&lt;=3,Diccionario!$O$2,IF(Z49=4,Diccionario!$O$5,Diccionario!$O$6))</f>
        <v>0.66499985814979368</v>
      </c>
      <c r="AL49">
        <f t="shared" si="18"/>
        <v>1</v>
      </c>
      <c r="AM49" s="3">
        <f t="shared" si="10"/>
        <v>514000</v>
      </c>
      <c r="AN49" s="95">
        <f>MIN(AJ49*AK49*AM49*(1+'[2]Pesos escenarios'!$F$8/2),AM49)</f>
        <v>6833.5702741843979</v>
      </c>
      <c r="AO49" t="str">
        <f>IFERROR(VLOOKUP(A49,Diccionario!$C$2:$E$65,3,FALSE),"no")</f>
        <v>Prestamos Personales</v>
      </c>
    </row>
    <row r="50" spans="1:41" x14ac:dyDescent="0.35">
      <c r="A50">
        <v>171112001</v>
      </c>
      <c r="B50">
        <v>80</v>
      </c>
      <c r="C50">
        <v>83994</v>
      </c>
      <c r="D50">
        <v>42686</v>
      </c>
      <c r="E50">
        <v>0</v>
      </c>
      <c r="F50" s="1">
        <v>46142</v>
      </c>
      <c r="G50" s="1">
        <v>46279</v>
      </c>
      <c r="H50" s="1">
        <v>45547</v>
      </c>
      <c r="I50">
        <v>732</v>
      </c>
      <c r="J50">
        <v>2</v>
      </c>
      <c r="K50" s="11">
        <v>46</v>
      </c>
      <c r="L50">
        <v>2</v>
      </c>
      <c r="M50">
        <v>2</v>
      </c>
      <c r="N50" t="s">
        <v>92</v>
      </c>
      <c r="O50" t="s">
        <v>93</v>
      </c>
      <c r="P50">
        <v>999</v>
      </c>
      <c r="Q50" s="1" t="s">
        <v>94</v>
      </c>
      <c r="R50" s="12">
        <v>45547</v>
      </c>
      <c r="S50" s="12">
        <v>2000000</v>
      </c>
      <c r="T50" s="12">
        <v>-533885.99</v>
      </c>
      <c r="U50" s="12">
        <v>-386.57</v>
      </c>
      <c r="V50" s="12">
        <v>-533885.99</v>
      </c>
      <c r="W50" s="12">
        <v>-8951.73</v>
      </c>
      <c r="X50" s="12">
        <v>5428.38</v>
      </c>
      <c r="Y50" t="str">
        <f t="shared" si="1"/>
        <v>Sit.Normal</v>
      </c>
      <c r="Z50">
        <f t="shared" si="11"/>
        <v>1</v>
      </c>
      <c r="AB50">
        <f>VLOOKUP(A50,rubros_a_considerar!$A$2:$A$13,1,FALSE)</f>
        <v>171112001</v>
      </c>
      <c r="AC50" s="2">
        <f t="shared" si="0"/>
        <v>-542837.72</v>
      </c>
      <c r="AD50" s="4">
        <f>IF(Z50&lt;=1,Diccionario!$M$2,Diccionario!$M$3)</f>
        <v>1.4999999999999999E-2</v>
      </c>
      <c r="AE50" s="93">
        <f t="shared" si="12"/>
        <v>4.1406369609475746E-5</v>
      </c>
      <c r="AF50">
        <f t="shared" si="13"/>
        <v>137</v>
      </c>
      <c r="AG50" s="5">
        <f t="shared" si="14"/>
        <v>137</v>
      </c>
      <c r="AH50">
        <f t="shared" si="15"/>
        <v>137</v>
      </c>
      <c r="AI50">
        <f t="shared" si="16"/>
        <v>68.435239023736813</v>
      </c>
      <c r="AJ50" s="4">
        <f t="shared" si="17"/>
        <v>1.4999999999999999E-2</v>
      </c>
      <c r="AK50">
        <f>IF(Z50&lt;=3,Diccionario!$O$2,IF(Z50=4,Diccionario!$O$5,Diccionario!$O$6))</f>
        <v>0.66499985814979368</v>
      </c>
      <c r="AL50">
        <f t="shared" si="18"/>
        <v>1</v>
      </c>
      <c r="AM50" s="3">
        <f t="shared" si="10"/>
        <v>542837.72</v>
      </c>
      <c r="AN50" s="95">
        <f>MIN(AJ50*AK50*AM50*(1+'[2]Pesos escenarios'!$F$8/2),AM50)</f>
        <v>7216.9644106965616</v>
      </c>
      <c r="AO50" t="str">
        <f>IFERROR(VLOOKUP(A50,Diccionario!$C$2:$E$65,3,FALSE),"no")</f>
        <v>Prestamos Personales</v>
      </c>
    </row>
    <row r="51" spans="1:41" x14ac:dyDescent="0.35">
      <c r="A51">
        <v>131731003</v>
      </c>
      <c r="B51">
        <v>80</v>
      </c>
      <c r="C51">
        <v>85932</v>
      </c>
      <c r="D51">
        <v>42908</v>
      </c>
      <c r="E51">
        <v>0</v>
      </c>
      <c r="F51" s="1">
        <v>46142</v>
      </c>
      <c r="G51" s="1">
        <v>46344</v>
      </c>
      <c r="H51" s="1">
        <v>45979</v>
      </c>
      <c r="I51">
        <v>360</v>
      </c>
      <c r="J51">
        <v>2</v>
      </c>
      <c r="K51" s="11">
        <v>73</v>
      </c>
      <c r="L51">
        <v>1</v>
      </c>
      <c r="M51">
        <v>2</v>
      </c>
      <c r="N51" t="s">
        <v>92</v>
      </c>
      <c r="O51" t="s">
        <v>93</v>
      </c>
      <c r="P51">
        <v>999</v>
      </c>
      <c r="Q51" s="1" t="s">
        <v>94</v>
      </c>
      <c r="R51" s="12">
        <v>45979</v>
      </c>
      <c r="S51" s="12">
        <v>800000</v>
      </c>
      <c r="T51" s="12">
        <v>-534764.78</v>
      </c>
      <c r="U51" s="12">
        <v>-387.2</v>
      </c>
      <c r="V51" s="12">
        <v>-534764.78</v>
      </c>
      <c r="W51" s="12">
        <v>-11764.83</v>
      </c>
      <c r="X51" s="12">
        <v>5465.3</v>
      </c>
      <c r="Y51" t="str">
        <f t="shared" si="1"/>
        <v>Sit.Normal</v>
      </c>
      <c r="Z51">
        <f t="shared" si="11"/>
        <v>1</v>
      </c>
      <c r="AB51">
        <f>VLOOKUP(A51,rubros_a_considerar!$A$2:$A$13,1,FALSE)</f>
        <v>131731003</v>
      </c>
      <c r="AC51" s="2">
        <f t="shared" si="0"/>
        <v>-546529.61</v>
      </c>
      <c r="AD51" s="4">
        <f>IF(Z51&lt;=1,Diccionario!$M$2,Diccionario!$M$3)</f>
        <v>1.4999999999999999E-2</v>
      </c>
      <c r="AE51" s="93">
        <f t="shared" si="12"/>
        <v>4.1406369609475746E-5</v>
      </c>
      <c r="AF51">
        <f t="shared" si="13"/>
        <v>202</v>
      </c>
      <c r="AG51" s="5">
        <f t="shared" si="14"/>
        <v>202</v>
      </c>
      <c r="AH51">
        <f t="shared" si="15"/>
        <v>202</v>
      </c>
      <c r="AI51">
        <f t="shared" si="16"/>
        <v>100.85920535346889</v>
      </c>
      <c r="AJ51" s="4">
        <f t="shared" si="17"/>
        <v>1.4999999999999999E-2</v>
      </c>
      <c r="AK51">
        <f>IF(Z51&lt;=3,Diccionario!$O$2,IF(Z51=4,Diccionario!$O$5,Diccionario!$O$6))</f>
        <v>0.66499985814979368</v>
      </c>
      <c r="AL51">
        <f t="shared" si="18"/>
        <v>1</v>
      </c>
      <c r="AM51" s="3">
        <f t="shared" si="10"/>
        <v>546529.61</v>
      </c>
      <c r="AN51" s="95">
        <f>MIN(AJ51*AK51*AM51*(1+'[2]Pesos escenarios'!$F$8/2),AM51)</f>
        <v>7266.0476592560153</v>
      </c>
      <c r="AO51" t="str">
        <f>IFERROR(VLOOKUP(A51,Diccionario!$C$2:$E$65,3,FALSE),"no")</f>
        <v>Prestamos Personales</v>
      </c>
    </row>
    <row r="52" spans="1:41" x14ac:dyDescent="0.35">
      <c r="A52">
        <v>131731003</v>
      </c>
      <c r="B52">
        <v>80</v>
      </c>
      <c r="C52">
        <v>86117</v>
      </c>
      <c r="D52">
        <v>42897</v>
      </c>
      <c r="E52">
        <v>0</v>
      </c>
      <c r="F52" s="1">
        <v>46142</v>
      </c>
      <c r="G52" s="1">
        <v>46328</v>
      </c>
      <c r="H52" s="1">
        <v>45952</v>
      </c>
      <c r="I52">
        <v>370</v>
      </c>
      <c r="J52">
        <v>2</v>
      </c>
      <c r="K52" s="11">
        <v>73</v>
      </c>
      <c r="L52">
        <v>1</v>
      </c>
      <c r="M52">
        <v>2</v>
      </c>
      <c r="N52" t="s">
        <v>92</v>
      </c>
      <c r="O52" t="s">
        <v>93</v>
      </c>
      <c r="P52">
        <v>999</v>
      </c>
      <c r="Q52" s="1" t="s">
        <v>94</v>
      </c>
      <c r="R52" s="12">
        <v>45952</v>
      </c>
      <c r="S52" s="12">
        <v>800000</v>
      </c>
      <c r="T52" s="12">
        <v>-541826.43999999994</v>
      </c>
      <c r="U52" s="12">
        <v>-392.32</v>
      </c>
      <c r="V52" s="12">
        <v>-541826.43999999994</v>
      </c>
      <c r="W52" s="12">
        <v>-32509.59</v>
      </c>
      <c r="X52" s="12">
        <v>5743.36</v>
      </c>
      <c r="Y52" t="str">
        <f t="shared" si="1"/>
        <v>Sit.Normal</v>
      </c>
      <c r="Z52">
        <f t="shared" si="11"/>
        <v>1</v>
      </c>
      <c r="AB52">
        <f>VLOOKUP(A52,rubros_a_considerar!$A$2:$A$13,1,FALSE)</f>
        <v>131731003</v>
      </c>
      <c r="AC52" s="2">
        <f t="shared" si="0"/>
        <v>-574336.02999999991</v>
      </c>
      <c r="AD52" s="4">
        <f>IF(Z52&lt;=1,Diccionario!$M$2,Diccionario!$M$3)</f>
        <v>1.4999999999999999E-2</v>
      </c>
      <c r="AE52" s="93">
        <f t="shared" si="12"/>
        <v>4.1406369609475746E-5</v>
      </c>
      <c r="AF52">
        <f t="shared" si="13"/>
        <v>186</v>
      </c>
      <c r="AG52" s="5">
        <f t="shared" si="14"/>
        <v>186</v>
      </c>
      <c r="AH52">
        <f t="shared" si="15"/>
        <v>186</v>
      </c>
      <c r="AI52">
        <f t="shared" si="16"/>
        <v>92.88062650030875</v>
      </c>
      <c r="AJ52" s="4">
        <f t="shared" si="17"/>
        <v>1.4999999999999999E-2</v>
      </c>
      <c r="AK52">
        <f>IF(Z52&lt;=3,Diccionario!$O$2,IF(Z52=4,Diccionario!$O$5,Diccionario!$O$6))</f>
        <v>0.66499985814979368</v>
      </c>
      <c r="AL52">
        <f t="shared" si="18"/>
        <v>1</v>
      </c>
      <c r="AM52" s="3">
        <f t="shared" si="10"/>
        <v>574336.02999999991</v>
      </c>
      <c r="AN52" s="95">
        <f>MIN(AJ52*AK52*AM52*(1+'[2]Pesos escenarios'!$F$8/2),AM52)</f>
        <v>7635.7307821032646</v>
      </c>
      <c r="AO52" t="str">
        <f>IFERROR(VLOOKUP(A52,Diccionario!$C$2:$E$65,3,FALSE),"no")</f>
        <v>Prestamos Personales</v>
      </c>
    </row>
    <row r="53" spans="1:41" x14ac:dyDescent="0.35">
      <c r="A53">
        <v>131731003</v>
      </c>
      <c r="B53">
        <v>80</v>
      </c>
      <c r="C53">
        <v>86993</v>
      </c>
      <c r="D53">
        <v>42896</v>
      </c>
      <c r="E53">
        <v>0</v>
      </c>
      <c r="F53" s="1">
        <v>46142</v>
      </c>
      <c r="G53" s="1">
        <v>46328</v>
      </c>
      <c r="H53" s="1">
        <v>45951</v>
      </c>
      <c r="I53">
        <v>371</v>
      </c>
      <c r="J53">
        <v>2</v>
      </c>
      <c r="K53" s="11">
        <v>73</v>
      </c>
      <c r="L53">
        <v>1</v>
      </c>
      <c r="M53">
        <v>2</v>
      </c>
      <c r="N53" t="s">
        <v>92</v>
      </c>
      <c r="O53" t="s">
        <v>93</v>
      </c>
      <c r="P53">
        <v>999</v>
      </c>
      <c r="Q53" s="1" t="s">
        <v>94</v>
      </c>
      <c r="R53" s="12">
        <v>45951</v>
      </c>
      <c r="S53" s="12">
        <v>800000</v>
      </c>
      <c r="T53" s="12">
        <v>-542831.68999999994</v>
      </c>
      <c r="U53" s="12">
        <v>-393.04</v>
      </c>
      <c r="V53" s="12">
        <v>-542831.68999999994</v>
      </c>
      <c r="W53" s="12">
        <v>-32569.9</v>
      </c>
      <c r="X53" s="12">
        <v>5754.02</v>
      </c>
      <c r="Y53" t="str">
        <f t="shared" si="1"/>
        <v>Sit.Normal</v>
      </c>
      <c r="Z53">
        <f t="shared" si="11"/>
        <v>1</v>
      </c>
      <c r="AB53">
        <f>VLOOKUP(A53,rubros_a_considerar!$A$2:$A$13,1,FALSE)</f>
        <v>131731003</v>
      </c>
      <c r="AC53" s="2">
        <f t="shared" si="0"/>
        <v>-575401.59</v>
      </c>
      <c r="AD53" s="4">
        <f>IF(Z53&lt;=1,Diccionario!$M$2,Diccionario!$M$3)</f>
        <v>1.4999999999999999E-2</v>
      </c>
      <c r="AE53" s="93">
        <f t="shared" si="12"/>
        <v>4.1406369609475746E-5</v>
      </c>
      <c r="AF53">
        <f t="shared" si="13"/>
        <v>186</v>
      </c>
      <c r="AG53" s="5">
        <f t="shared" si="14"/>
        <v>186</v>
      </c>
      <c r="AH53">
        <f t="shared" si="15"/>
        <v>186</v>
      </c>
      <c r="AI53">
        <f t="shared" si="16"/>
        <v>92.88062650030875</v>
      </c>
      <c r="AJ53" s="4">
        <f t="shared" si="17"/>
        <v>1.4999999999999999E-2</v>
      </c>
      <c r="AK53">
        <f>IF(Z53&lt;=3,Diccionario!$O$2,IF(Z53=4,Diccionario!$O$5,Diccionario!$O$6))</f>
        <v>0.66499985814979368</v>
      </c>
      <c r="AL53">
        <f t="shared" si="18"/>
        <v>1</v>
      </c>
      <c r="AM53" s="3">
        <f t="shared" si="10"/>
        <v>575401.59</v>
      </c>
      <c r="AN53" s="95">
        <f>MIN(AJ53*AK53*AM53*(1+'[2]Pesos escenarios'!$F$8/2),AM53)</f>
        <v>7649.897278487234</v>
      </c>
      <c r="AO53" t="str">
        <f>IFERROR(VLOOKUP(A53,Diccionario!$C$2:$E$65,3,FALSE),"no")</f>
        <v>Prestamos Personales</v>
      </c>
    </row>
    <row r="54" spans="1:41" x14ac:dyDescent="0.35">
      <c r="A54">
        <v>171112001</v>
      </c>
      <c r="B54">
        <v>80</v>
      </c>
      <c r="C54">
        <v>84446</v>
      </c>
      <c r="D54">
        <v>42838</v>
      </c>
      <c r="E54">
        <v>0</v>
      </c>
      <c r="F54" s="1">
        <v>46142</v>
      </c>
      <c r="G54" s="1">
        <v>46198</v>
      </c>
      <c r="H54" s="1">
        <v>45833</v>
      </c>
      <c r="I54">
        <v>365</v>
      </c>
      <c r="J54">
        <v>2</v>
      </c>
      <c r="K54" s="11">
        <v>46</v>
      </c>
      <c r="L54">
        <v>2</v>
      </c>
      <c r="M54">
        <v>2</v>
      </c>
      <c r="N54" t="s">
        <v>92</v>
      </c>
      <c r="O54" t="s">
        <v>93</v>
      </c>
      <c r="P54">
        <v>999</v>
      </c>
      <c r="Q54" s="1" t="s">
        <v>94</v>
      </c>
      <c r="R54" s="12">
        <v>45833</v>
      </c>
      <c r="S54" s="12">
        <v>3000000</v>
      </c>
      <c r="T54" s="12">
        <v>-573871.31000000006</v>
      </c>
      <c r="U54" s="12">
        <v>-415.52</v>
      </c>
      <c r="V54" s="12">
        <v>-573871.31000000006</v>
      </c>
      <c r="W54" s="12">
        <v>-2138.2600000000002</v>
      </c>
      <c r="X54" s="12">
        <v>5760.1</v>
      </c>
      <c r="Y54" t="str">
        <f t="shared" si="1"/>
        <v>Sit.Normal</v>
      </c>
      <c r="Z54">
        <f t="shared" si="11"/>
        <v>1</v>
      </c>
      <c r="AB54">
        <f>VLOOKUP(A54,rubros_a_considerar!$A$2:$A$13,1,FALSE)</f>
        <v>171112001</v>
      </c>
      <c r="AC54" s="2">
        <f t="shared" si="0"/>
        <v>-576009.57000000007</v>
      </c>
      <c r="AD54" s="4">
        <f>IF(Z54&lt;=1,Diccionario!$M$2,Diccionario!$M$3)</f>
        <v>1.4999999999999999E-2</v>
      </c>
      <c r="AE54" s="93">
        <f t="shared" si="12"/>
        <v>4.1406369609475746E-5</v>
      </c>
      <c r="AF54">
        <f t="shared" si="13"/>
        <v>56</v>
      </c>
      <c r="AG54" s="5">
        <f t="shared" si="14"/>
        <v>56</v>
      </c>
      <c r="AH54">
        <f t="shared" si="15"/>
        <v>56</v>
      </c>
      <c r="AI54">
        <f t="shared" si="16"/>
        <v>27.98918238830619</v>
      </c>
      <c r="AJ54" s="4">
        <f t="shared" si="17"/>
        <v>1.4999999999999999E-2</v>
      </c>
      <c r="AK54">
        <f>IF(Z54&lt;=3,Diccionario!$O$2,IF(Z54=4,Diccionario!$O$5,Diccionario!$O$6))</f>
        <v>0.66499985814979368</v>
      </c>
      <c r="AL54">
        <f t="shared" si="18"/>
        <v>1</v>
      </c>
      <c r="AM54" s="3">
        <f t="shared" si="10"/>
        <v>576009.57000000007</v>
      </c>
      <c r="AN54" s="95">
        <f>MIN(AJ54*AK54*AM54*(1+'[2]Pesos escenarios'!$F$8/2),AM54)</f>
        <v>7657.9803019411229</v>
      </c>
      <c r="AO54" t="str">
        <f>IFERROR(VLOOKUP(A54,Diccionario!$C$2:$E$65,3,FALSE),"no")</f>
        <v>Prestamos Personales</v>
      </c>
    </row>
    <row r="55" spans="1:41" x14ac:dyDescent="0.35">
      <c r="A55">
        <v>131731003</v>
      </c>
      <c r="B55">
        <v>80</v>
      </c>
      <c r="C55">
        <v>57252</v>
      </c>
      <c r="D55">
        <v>42918</v>
      </c>
      <c r="E55">
        <v>0</v>
      </c>
      <c r="F55" s="1">
        <v>46142</v>
      </c>
      <c r="G55" s="1">
        <v>46385</v>
      </c>
      <c r="H55" s="1">
        <v>46020</v>
      </c>
      <c r="I55">
        <v>360</v>
      </c>
      <c r="J55">
        <v>2</v>
      </c>
      <c r="K55" s="11">
        <v>73</v>
      </c>
      <c r="L55">
        <v>1</v>
      </c>
      <c r="M55">
        <v>2</v>
      </c>
      <c r="N55" t="s">
        <v>92</v>
      </c>
      <c r="O55" t="s">
        <v>93</v>
      </c>
      <c r="P55">
        <v>999</v>
      </c>
      <c r="Q55" s="1" t="s">
        <v>94</v>
      </c>
      <c r="R55" s="12">
        <v>46020</v>
      </c>
      <c r="S55" s="12">
        <v>800000</v>
      </c>
      <c r="T55" s="12">
        <v>-592895.69999999995</v>
      </c>
      <c r="U55" s="12">
        <v>-429.29</v>
      </c>
      <c r="V55" s="12">
        <v>-592895.69999999995</v>
      </c>
      <c r="W55" s="12">
        <v>-2371.58</v>
      </c>
      <c r="X55" s="12">
        <v>5952.67</v>
      </c>
      <c r="Y55" t="str">
        <f t="shared" si="1"/>
        <v>Sit.Normal</v>
      </c>
      <c r="Z55">
        <f t="shared" si="11"/>
        <v>1</v>
      </c>
      <c r="AB55">
        <f>VLOOKUP(A55,rubros_a_considerar!$A$2:$A$13,1,FALSE)</f>
        <v>131731003</v>
      </c>
      <c r="AC55" s="2">
        <f t="shared" si="0"/>
        <v>-595267.27999999991</v>
      </c>
      <c r="AD55" s="4">
        <f>IF(Z55&lt;=1,Diccionario!$M$2,Diccionario!$M$3)</f>
        <v>1.4999999999999999E-2</v>
      </c>
      <c r="AE55" s="93">
        <f t="shared" si="12"/>
        <v>4.1406369609475746E-5</v>
      </c>
      <c r="AF55">
        <f t="shared" si="13"/>
        <v>243</v>
      </c>
      <c r="AG55" s="5">
        <f t="shared" si="14"/>
        <v>243</v>
      </c>
      <c r="AH55">
        <f t="shared" si="15"/>
        <v>243</v>
      </c>
      <c r="AI55">
        <f t="shared" si="16"/>
        <v>121.29624922780727</v>
      </c>
      <c r="AJ55" s="4">
        <f t="shared" si="17"/>
        <v>1.4999999999999999E-2</v>
      </c>
      <c r="AK55">
        <f>IF(Z55&lt;=3,Diccionario!$O$2,IF(Z55=4,Diccionario!$O$5,Diccionario!$O$6))</f>
        <v>0.66499985814979368</v>
      </c>
      <c r="AL55">
        <f t="shared" si="18"/>
        <v>1</v>
      </c>
      <c r="AM55" s="3">
        <f t="shared" si="10"/>
        <v>595267.27999999991</v>
      </c>
      <c r="AN55" s="95">
        <f>MIN(AJ55*AK55*AM55*(1+'[2]Pesos escenarios'!$F$8/2),AM55)</f>
        <v>7914.0093186821014</v>
      </c>
      <c r="AO55" t="str">
        <f>IFERROR(VLOOKUP(A55,Diccionario!$C$2:$E$65,3,FALSE),"no")</f>
        <v>Prestamos Personales</v>
      </c>
    </row>
    <row r="56" spans="1:41" x14ac:dyDescent="0.35">
      <c r="A56">
        <v>131731003</v>
      </c>
      <c r="B56">
        <v>80</v>
      </c>
      <c r="C56">
        <v>59399</v>
      </c>
      <c r="D56">
        <v>42912</v>
      </c>
      <c r="E56">
        <v>0</v>
      </c>
      <c r="F56" s="1">
        <v>46142</v>
      </c>
      <c r="G56" s="1">
        <v>46363</v>
      </c>
      <c r="H56" s="1">
        <v>45996</v>
      </c>
      <c r="I56">
        <v>362</v>
      </c>
      <c r="J56">
        <v>2</v>
      </c>
      <c r="K56" s="11">
        <v>73</v>
      </c>
      <c r="L56">
        <v>1</v>
      </c>
      <c r="M56">
        <v>2</v>
      </c>
      <c r="N56" t="s">
        <v>92</v>
      </c>
      <c r="O56" t="s">
        <v>93</v>
      </c>
      <c r="P56">
        <v>999</v>
      </c>
      <c r="Q56" s="1" t="s">
        <v>94</v>
      </c>
      <c r="R56" s="12">
        <v>45996</v>
      </c>
      <c r="S56" s="12">
        <v>800000</v>
      </c>
      <c r="T56" s="12">
        <v>-593507.93999999994</v>
      </c>
      <c r="U56" s="12">
        <v>-429.74</v>
      </c>
      <c r="V56" s="12">
        <v>-593507.93999999994</v>
      </c>
      <c r="W56" s="12">
        <v>-29675.4</v>
      </c>
      <c r="X56" s="12">
        <v>6231.83</v>
      </c>
      <c r="Y56" t="str">
        <f t="shared" si="1"/>
        <v>Sit.Normal</v>
      </c>
      <c r="Z56">
        <f t="shared" si="11"/>
        <v>1</v>
      </c>
      <c r="AB56">
        <f>VLOOKUP(A56,rubros_a_considerar!$A$2:$A$13,1,FALSE)</f>
        <v>131731003</v>
      </c>
      <c r="AC56" s="2">
        <f t="shared" si="0"/>
        <v>-623183.34</v>
      </c>
      <c r="AD56" s="4">
        <f>IF(Z56&lt;=1,Diccionario!$M$2,Diccionario!$M$3)</f>
        <v>1.4999999999999999E-2</v>
      </c>
      <c r="AE56" s="93">
        <f t="shared" si="12"/>
        <v>4.1406369609475746E-5</v>
      </c>
      <c r="AF56">
        <f t="shared" si="13"/>
        <v>221</v>
      </c>
      <c r="AG56" s="5">
        <f t="shared" si="14"/>
        <v>221</v>
      </c>
      <c r="AH56">
        <f t="shared" si="15"/>
        <v>221</v>
      </c>
      <c r="AI56">
        <f t="shared" si="16"/>
        <v>110.33147283784612</v>
      </c>
      <c r="AJ56" s="4">
        <f t="shared" si="17"/>
        <v>1.4999999999999999E-2</v>
      </c>
      <c r="AK56">
        <f>IF(Z56&lt;=3,Diccionario!$O$2,IF(Z56=4,Diccionario!$O$5,Diccionario!$O$6))</f>
        <v>0.66499985814979368</v>
      </c>
      <c r="AL56">
        <f t="shared" si="18"/>
        <v>1</v>
      </c>
      <c r="AM56" s="3">
        <f t="shared" si="10"/>
        <v>623183.34</v>
      </c>
      <c r="AN56" s="95">
        <f>MIN(AJ56*AK56*AM56*(1+'[2]Pesos escenarios'!$F$8/2),AM56)</f>
        <v>8285.1500925893943</v>
      </c>
      <c r="AO56" t="str">
        <f>IFERROR(VLOOKUP(A56,Diccionario!$C$2:$E$65,3,FALSE),"no")</f>
        <v>Prestamos Personales</v>
      </c>
    </row>
    <row r="57" spans="1:41" x14ac:dyDescent="0.35">
      <c r="A57">
        <v>131731003</v>
      </c>
      <c r="B57">
        <v>80</v>
      </c>
      <c r="C57">
        <v>59466</v>
      </c>
      <c r="D57">
        <v>42914</v>
      </c>
      <c r="E57">
        <v>0</v>
      </c>
      <c r="F57" s="1">
        <v>46142</v>
      </c>
      <c r="G57" s="1">
        <v>46363</v>
      </c>
      <c r="H57" s="1">
        <v>45996</v>
      </c>
      <c r="I57">
        <v>362</v>
      </c>
      <c r="J57">
        <v>2</v>
      </c>
      <c r="K57" s="11">
        <v>73</v>
      </c>
      <c r="L57">
        <v>1</v>
      </c>
      <c r="M57">
        <v>2</v>
      </c>
      <c r="N57" t="s">
        <v>92</v>
      </c>
      <c r="O57" t="s">
        <v>93</v>
      </c>
      <c r="P57">
        <v>999</v>
      </c>
      <c r="Q57" s="1" t="s">
        <v>94</v>
      </c>
      <c r="R57" s="12">
        <v>45996</v>
      </c>
      <c r="S57" s="12">
        <v>800000</v>
      </c>
      <c r="T57" s="12">
        <v>-593507.93999999994</v>
      </c>
      <c r="U57" s="12">
        <v>-429.74</v>
      </c>
      <c r="V57" s="12">
        <v>-593507.93999999994</v>
      </c>
      <c r="W57" s="12">
        <v>-29675.4</v>
      </c>
      <c r="X57" s="12">
        <v>6231.83</v>
      </c>
      <c r="Y57" t="str">
        <f t="shared" si="1"/>
        <v>Sit.Normal</v>
      </c>
      <c r="Z57">
        <f t="shared" si="11"/>
        <v>1</v>
      </c>
      <c r="AB57">
        <f>VLOOKUP(A57,rubros_a_considerar!$A$2:$A$13,1,FALSE)</f>
        <v>131731003</v>
      </c>
      <c r="AC57" s="2">
        <f t="shared" si="0"/>
        <v>-623183.34</v>
      </c>
      <c r="AD57" s="4">
        <f>IF(Z57&lt;=1,Diccionario!$M$2,Diccionario!$M$3)</f>
        <v>1.4999999999999999E-2</v>
      </c>
      <c r="AE57" s="93">
        <f t="shared" si="12"/>
        <v>4.1406369609475746E-5</v>
      </c>
      <c r="AF57">
        <f t="shared" si="13"/>
        <v>221</v>
      </c>
      <c r="AG57" s="5">
        <f t="shared" si="14"/>
        <v>221</v>
      </c>
      <c r="AH57">
        <f t="shared" si="15"/>
        <v>221</v>
      </c>
      <c r="AI57">
        <f t="shared" si="16"/>
        <v>110.33147283784612</v>
      </c>
      <c r="AJ57" s="4">
        <f t="shared" si="17"/>
        <v>1.4999999999999999E-2</v>
      </c>
      <c r="AK57">
        <f>IF(Z57&lt;=3,Diccionario!$O$2,IF(Z57=4,Diccionario!$O$5,Diccionario!$O$6))</f>
        <v>0.66499985814979368</v>
      </c>
      <c r="AL57">
        <f t="shared" si="18"/>
        <v>1</v>
      </c>
      <c r="AM57" s="3">
        <f t="shared" si="10"/>
        <v>623183.34</v>
      </c>
      <c r="AN57" s="95">
        <f>MIN(AJ57*AK57*AM57*(1+'[2]Pesos escenarios'!$F$8/2),AM57)</f>
        <v>8285.1500925893943</v>
      </c>
      <c r="AO57" t="str">
        <f>IFERROR(VLOOKUP(A57,Diccionario!$C$2:$E$65,3,FALSE),"no")</f>
        <v>Prestamos Personales</v>
      </c>
    </row>
    <row r="58" spans="1:41" x14ac:dyDescent="0.35">
      <c r="A58">
        <v>131731003</v>
      </c>
      <c r="B58">
        <v>80</v>
      </c>
      <c r="C58">
        <v>86985</v>
      </c>
      <c r="D58">
        <v>42913</v>
      </c>
      <c r="E58">
        <v>0</v>
      </c>
      <c r="F58" s="1">
        <v>46142</v>
      </c>
      <c r="G58" s="1">
        <v>46363</v>
      </c>
      <c r="H58" s="1">
        <v>45996</v>
      </c>
      <c r="I58">
        <v>362</v>
      </c>
      <c r="J58">
        <v>2</v>
      </c>
      <c r="K58" s="11">
        <v>73</v>
      </c>
      <c r="L58">
        <v>1</v>
      </c>
      <c r="M58">
        <v>2</v>
      </c>
      <c r="N58" t="s">
        <v>92</v>
      </c>
      <c r="O58" t="s">
        <v>93</v>
      </c>
      <c r="P58">
        <v>999</v>
      </c>
      <c r="Q58" s="1" t="s">
        <v>94</v>
      </c>
      <c r="R58" s="12">
        <v>45996</v>
      </c>
      <c r="S58" s="12">
        <v>800000</v>
      </c>
      <c r="T58" s="12">
        <v>-593507.93999999994</v>
      </c>
      <c r="U58" s="12">
        <v>-429.74</v>
      </c>
      <c r="V58" s="12">
        <v>-593507.93999999994</v>
      </c>
      <c r="W58" s="12">
        <v>-29675.4</v>
      </c>
      <c r="X58" s="12">
        <v>6231.83</v>
      </c>
      <c r="Y58" t="str">
        <f t="shared" si="1"/>
        <v>Sit.Normal</v>
      </c>
      <c r="Z58">
        <f t="shared" si="11"/>
        <v>1</v>
      </c>
      <c r="AB58">
        <f>VLOOKUP(A58,rubros_a_considerar!$A$2:$A$13,1,FALSE)</f>
        <v>131731003</v>
      </c>
      <c r="AC58" s="2">
        <f t="shared" si="0"/>
        <v>-623183.34</v>
      </c>
      <c r="AD58" s="4">
        <f>IF(Z58&lt;=1,Diccionario!$M$2,Diccionario!$M$3)</f>
        <v>1.4999999999999999E-2</v>
      </c>
      <c r="AE58" s="93">
        <f t="shared" si="12"/>
        <v>4.1406369609475746E-5</v>
      </c>
      <c r="AF58">
        <f t="shared" si="13"/>
        <v>221</v>
      </c>
      <c r="AG58" s="5">
        <f t="shared" si="14"/>
        <v>221</v>
      </c>
      <c r="AH58">
        <f t="shared" si="15"/>
        <v>221</v>
      </c>
      <c r="AI58">
        <f t="shared" si="16"/>
        <v>110.33147283784612</v>
      </c>
      <c r="AJ58" s="4">
        <f t="shared" si="17"/>
        <v>1.4999999999999999E-2</v>
      </c>
      <c r="AK58">
        <f>IF(Z58&lt;=3,Diccionario!$O$2,IF(Z58=4,Diccionario!$O$5,Diccionario!$O$6))</f>
        <v>0.66499985814979368</v>
      </c>
      <c r="AL58">
        <f t="shared" si="18"/>
        <v>1</v>
      </c>
      <c r="AM58" s="3">
        <f t="shared" si="10"/>
        <v>623183.34</v>
      </c>
      <c r="AN58" s="95">
        <f>MIN(AJ58*AK58*AM58*(1+'[2]Pesos escenarios'!$F$8/2),AM58)</f>
        <v>8285.1500925893943</v>
      </c>
      <c r="AO58" t="str">
        <f>IFERROR(VLOOKUP(A58,Diccionario!$C$2:$E$65,3,FALSE),"no")</f>
        <v>Prestamos Personales</v>
      </c>
    </row>
    <row r="59" spans="1:41" x14ac:dyDescent="0.35">
      <c r="A59">
        <v>131731003</v>
      </c>
      <c r="B59">
        <v>80</v>
      </c>
      <c r="C59">
        <v>83000</v>
      </c>
      <c r="D59">
        <v>42945</v>
      </c>
      <c r="E59">
        <v>0</v>
      </c>
      <c r="F59" s="1">
        <v>46142</v>
      </c>
      <c r="G59" s="1">
        <v>46428</v>
      </c>
      <c r="H59" s="1">
        <v>46063</v>
      </c>
      <c r="I59">
        <v>360</v>
      </c>
      <c r="J59">
        <v>2</v>
      </c>
      <c r="K59" s="11">
        <v>73</v>
      </c>
      <c r="L59">
        <v>1</v>
      </c>
      <c r="M59">
        <v>2</v>
      </c>
      <c r="N59" t="s">
        <v>92</v>
      </c>
      <c r="O59" t="s">
        <v>93</v>
      </c>
      <c r="P59">
        <v>999</v>
      </c>
      <c r="Q59" s="1" t="s">
        <v>94</v>
      </c>
      <c r="R59" s="12">
        <v>46063</v>
      </c>
      <c r="S59" s="12">
        <v>700000</v>
      </c>
      <c r="T59" s="12">
        <v>-614315.37</v>
      </c>
      <c r="U59" s="12">
        <v>-444.8</v>
      </c>
      <c r="V59" s="12">
        <v>-614315.37</v>
      </c>
      <c r="W59" s="12">
        <v>-25801.25</v>
      </c>
      <c r="X59" s="12">
        <v>6401.17</v>
      </c>
      <c r="Y59" t="str">
        <f t="shared" si="1"/>
        <v>Sit.Normal</v>
      </c>
      <c r="Z59">
        <f t="shared" si="11"/>
        <v>1</v>
      </c>
      <c r="AB59">
        <f>VLOOKUP(A59,rubros_a_considerar!$A$2:$A$13,1,FALSE)</f>
        <v>131731003</v>
      </c>
      <c r="AC59" s="2">
        <f t="shared" si="0"/>
        <v>-640116.62</v>
      </c>
      <c r="AD59" s="4">
        <f>IF(Z59&lt;=1,Diccionario!$M$2,Diccionario!$M$3)</f>
        <v>1.4999999999999999E-2</v>
      </c>
      <c r="AE59" s="93">
        <f t="shared" si="12"/>
        <v>4.1406369609475746E-5</v>
      </c>
      <c r="AF59">
        <f t="shared" si="13"/>
        <v>286</v>
      </c>
      <c r="AG59" s="5">
        <f t="shared" si="14"/>
        <v>286</v>
      </c>
      <c r="AH59">
        <f t="shared" si="15"/>
        <v>286</v>
      </c>
      <c r="AI59">
        <f t="shared" si="16"/>
        <v>142.71775855575635</v>
      </c>
      <c r="AJ59" s="4">
        <f t="shared" si="17"/>
        <v>1.4999999999999999E-2</v>
      </c>
      <c r="AK59">
        <f>IF(Z59&lt;=3,Diccionario!$O$2,IF(Z59=4,Diccionario!$O$5,Diccionario!$O$6))</f>
        <v>0.66499985814979368</v>
      </c>
      <c r="AL59">
        <f t="shared" si="18"/>
        <v>1</v>
      </c>
      <c r="AM59" s="3">
        <f t="shared" si="10"/>
        <v>640116.62</v>
      </c>
      <c r="AN59" s="95">
        <f>MIN(AJ59*AK59*AM59*(1+'[2]Pesos escenarios'!$F$8/2),AM59)</f>
        <v>8510.2760825746882</v>
      </c>
      <c r="AO59" t="str">
        <f>IFERROR(VLOOKUP(A59,Diccionario!$C$2:$E$65,3,FALSE),"no")</f>
        <v>Prestamos Personales</v>
      </c>
    </row>
    <row r="60" spans="1:41" x14ac:dyDescent="0.35">
      <c r="A60">
        <v>131731003</v>
      </c>
      <c r="B60">
        <v>80</v>
      </c>
      <c r="C60">
        <v>86259</v>
      </c>
      <c r="D60">
        <v>42928</v>
      </c>
      <c r="E60">
        <v>0</v>
      </c>
      <c r="F60" s="1">
        <v>46142</v>
      </c>
      <c r="G60" s="1">
        <v>46398</v>
      </c>
      <c r="H60" s="1">
        <v>46031</v>
      </c>
      <c r="I60">
        <v>362</v>
      </c>
      <c r="J60">
        <v>2</v>
      </c>
      <c r="K60" s="11">
        <v>73</v>
      </c>
      <c r="L60">
        <v>1</v>
      </c>
      <c r="M60">
        <v>2</v>
      </c>
      <c r="N60" t="s">
        <v>92</v>
      </c>
      <c r="O60" t="s">
        <v>93</v>
      </c>
      <c r="P60">
        <v>999</v>
      </c>
      <c r="Q60" s="1" t="s">
        <v>94</v>
      </c>
      <c r="R60" s="12">
        <v>46031</v>
      </c>
      <c r="S60" s="12">
        <v>800000</v>
      </c>
      <c r="T60" s="12">
        <v>-648810.30000000005</v>
      </c>
      <c r="U60" s="12">
        <v>-469.78</v>
      </c>
      <c r="V60" s="12">
        <v>-648810.30000000005</v>
      </c>
      <c r="W60" s="12">
        <v>-28547.65</v>
      </c>
      <c r="X60" s="12">
        <v>6773.58</v>
      </c>
      <c r="Y60" t="str">
        <f t="shared" si="1"/>
        <v>Sit.Normal</v>
      </c>
      <c r="Z60">
        <f t="shared" si="11"/>
        <v>1</v>
      </c>
      <c r="AB60">
        <f>VLOOKUP(A60,rubros_a_considerar!$A$2:$A$13,1,FALSE)</f>
        <v>131731003</v>
      </c>
      <c r="AC60" s="2">
        <f t="shared" si="0"/>
        <v>-677357.95000000007</v>
      </c>
      <c r="AD60" s="4">
        <f>IF(Z60&lt;=1,Diccionario!$M$2,Diccionario!$M$3)</f>
        <v>1.4999999999999999E-2</v>
      </c>
      <c r="AE60" s="93">
        <f t="shared" si="12"/>
        <v>4.1406369609475746E-5</v>
      </c>
      <c r="AF60">
        <f t="shared" si="13"/>
        <v>256</v>
      </c>
      <c r="AG60" s="5">
        <f t="shared" si="14"/>
        <v>256</v>
      </c>
      <c r="AH60">
        <f t="shared" si="15"/>
        <v>256</v>
      </c>
      <c r="AI60">
        <f t="shared" si="16"/>
        <v>127.7738651830114</v>
      </c>
      <c r="AJ60" s="4">
        <f t="shared" si="17"/>
        <v>1.4999999999999999E-2</v>
      </c>
      <c r="AK60">
        <f>IF(Z60&lt;=3,Diccionario!$O$2,IF(Z60=4,Diccionario!$O$5,Diccionario!$O$6))</f>
        <v>0.66499985814979368</v>
      </c>
      <c r="AL60">
        <f t="shared" si="18"/>
        <v>1</v>
      </c>
      <c r="AM60" s="3">
        <f t="shared" si="10"/>
        <v>677357.95000000007</v>
      </c>
      <c r="AN60" s="95">
        <f>MIN(AJ60*AK60*AM60*(1+'[2]Pesos escenarios'!$F$8/2),AM60)</f>
        <v>9005.3952375534664</v>
      </c>
      <c r="AO60" t="str">
        <f>IFERROR(VLOOKUP(A60,Diccionario!$C$2:$E$65,3,FALSE),"no")</f>
        <v>Prestamos Personales</v>
      </c>
    </row>
    <row r="61" spans="1:41" x14ac:dyDescent="0.35">
      <c r="A61">
        <v>131731003</v>
      </c>
      <c r="B61">
        <v>80</v>
      </c>
      <c r="C61">
        <v>85604</v>
      </c>
      <c r="D61">
        <v>42933</v>
      </c>
      <c r="E61">
        <v>0</v>
      </c>
      <c r="F61" s="1">
        <v>46142</v>
      </c>
      <c r="G61" s="1">
        <v>46400</v>
      </c>
      <c r="H61" s="1">
        <v>46035</v>
      </c>
      <c r="I61">
        <v>360</v>
      </c>
      <c r="J61">
        <v>2</v>
      </c>
      <c r="K61" s="11">
        <v>73</v>
      </c>
      <c r="L61">
        <v>1</v>
      </c>
      <c r="M61">
        <v>2</v>
      </c>
      <c r="N61" t="s">
        <v>92</v>
      </c>
      <c r="O61" t="s">
        <v>93</v>
      </c>
      <c r="P61">
        <v>999</v>
      </c>
      <c r="Q61" s="1" t="s">
        <v>94</v>
      </c>
      <c r="R61" s="12">
        <v>46035</v>
      </c>
      <c r="S61" s="12">
        <v>800000</v>
      </c>
      <c r="T61" s="12">
        <v>-648850.34</v>
      </c>
      <c r="U61" s="12">
        <v>-469.81</v>
      </c>
      <c r="V61" s="12">
        <v>-648850.34</v>
      </c>
      <c r="W61" s="12">
        <v>-23358.61</v>
      </c>
      <c r="X61" s="12">
        <v>6722.09</v>
      </c>
      <c r="Y61" t="str">
        <f t="shared" si="1"/>
        <v>Sit.Normal</v>
      </c>
      <c r="Z61">
        <f t="shared" si="11"/>
        <v>1</v>
      </c>
      <c r="AB61">
        <f>VLOOKUP(A61,rubros_a_considerar!$A$2:$A$13,1,FALSE)</f>
        <v>131731003</v>
      </c>
      <c r="AC61" s="2">
        <f t="shared" si="0"/>
        <v>-672208.95</v>
      </c>
      <c r="AD61" s="4">
        <f>IF(Z61&lt;=1,Diccionario!$M$2,Diccionario!$M$3)</f>
        <v>1.4999999999999999E-2</v>
      </c>
      <c r="AE61" s="93">
        <f t="shared" si="12"/>
        <v>4.1406369609475746E-5</v>
      </c>
      <c r="AF61">
        <f t="shared" si="13"/>
        <v>258</v>
      </c>
      <c r="AG61" s="5">
        <f t="shared" si="14"/>
        <v>258</v>
      </c>
      <c r="AH61">
        <f t="shared" si="15"/>
        <v>258</v>
      </c>
      <c r="AI61">
        <f t="shared" si="16"/>
        <v>128.77031802620061</v>
      </c>
      <c r="AJ61" s="4">
        <f t="shared" si="17"/>
        <v>1.4999999999999999E-2</v>
      </c>
      <c r="AK61">
        <f>IF(Z61&lt;=3,Diccionario!$O$2,IF(Z61=4,Diccionario!$O$5,Diccionario!$O$6))</f>
        <v>0.66499985814979368</v>
      </c>
      <c r="AL61">
        <f t="shared" si="18"/>
        <v>1</v>
      </c>
      <c r="AM61" s="3">
        <f t="shared" si="10"/>
        <v>672208.95</v>
      </c>
      <c r="AN61" s="95">
        <f>MIN(AJ61*AK61*AM61*(1+'[2]Pesos escenarios'!$F$8/2),AM61)</f>
        <v>8936.9398808574024</v>
      </c>
      <c r="AO61" t="str">
        <f>IFERROR(VLOOKUP(A61,Diccionario!$C$2:$E$65,3,FALSE),"no")</f>
        <v>Prestamos Personales</v>
      </c>
    </row>
    <row r="62" spans="1:41" x14ac:dyDescent="0.35">
      <c r="A62">
        <v>131731003</v>
      </c>
      <c r="B62">
        <v>80</v>
      </c>
      <c r="C62">
        <v>55257</v>
      </c>
      <c r="D62">
        <v>42940</v>
      </c>
      <c r="E62">
        <v>0</v>
      </c>
      <c r="F62" s="1">
        <v>46142</v>
      </c>
      <c r="G62" s="1">
        <v>46406</v>
      </c>
      <c r="H62" s="1">
        <v>46041</v>
      </c>
      <c r="I62">
        <v>360</v>
      </c>
      <c r="J62">
        <v>2</v>
      </c>
      <c r="K62" s="11">
        <v>73</v>
      </c>
      <c r="L62">
        <v>1</v>
      </c>
      <c r="M62">
        <v>2</v>
      </c>
      <c r="N62" t="s">
        <v>92</v>
      </c>
      <c r="O62" t="s">
        <v>93</v>
      </c>
      <c r="P62">
        <v>999</v>
      </c>
      <c r="Q62" s="1" t="s">
        <v>94</v>
      </c>
      <c r="R62" s="12">
        <v>46041</v>
      </c>
      <c r="S62" s="12">
        <v>800000</v>
      </c>
      <c r="T62" s="12">
        <v>-702143.04</v>
      </c>
      <c r="U62" s="12">
        <v>-508.4</v>
      </c>
      <c r="V62" s="12">
        <v>-702143.04</v>
      </c>
      <c r="W62" s="12">
        <v>-57836.67</v>
      </c>
      <c r="X62" s="12">
        <v>7599.8</v>
      </c>
      <c r="Y62" t="str">
        <f t="shared" si="1"/>
        <v>Sit.Normal</v>
      </c>
      <c r="Z62">
        <f t="shared" si="11"/>
        <v>1</v>
      </c>
      <c r="AB62">
        <f>VLOOKUP(A62,rubros_a_considerar!$A$2:$A$13,1,FALSE)</f>
        <v>131731003</v>
      </c>
      <c r="AC62" s="2">
        <f t="shared" si="0"/>
        <v>-759979.71000000008</v>
      </c>
      <c r="AD62" s="4">
        <f>IF(Z62&lt;=1,Diccionario!$M$2,Diccionario!$M$3)</f>
        <v>1.4999999999999999E-2</v>
      </c>
      <c r="AE62" s="93">
        <f t="shared" si="12"/>
        <v>4.1406369609475746E-5</v>
      </c>
      <c r="AF62">
        <f t="shared" si="13"/>
        <v>264</v>
      </c>
      <c r="AG62" s="5">
        <f t="shared" si="14"/>
        <v>264</v>
      </c>
      <c r="AH62">
        <f t="shared" si="15"/>
        <v>264</v>
      </c>
      <c r="AI62">
        <f t="shared" si="16"/>
        <v>131.75951066848438</v>
      </c>
      <c r="AJ62" s="4">
        <f t="shared" si="17"/>
        <v>1.4999999999999999E-2</v>
      </c>
      <c r="AK62">
        <f>IF(Z62&lt;=3,Diccionario!$O$2,IF(Z62=4,Diccionario!$O$5,Diccionario!$O$6))</f>
        <v>0.66499985814979368</v>
      </c>
      <c r="AL62">
        <f t="shared" si="18"/>
        <v>1</v>
      </c>
      <c r="AM62" s="3">
        <f t="shared" si="10"/>
        <v>759979.71000000008</v>
      </c>
      <c r="AN62" s="95">
        <f>MIN(AJ62*AK62*AM62*(1+'[2]Pesos escenarios'!$F$8/2),AM62)</f>
        <v>10103.841936263188</v>
      </c>
      <c r="AO62" t="str">
        <f>IFERROR(VLOOKUP(A62,Diccionario!$C$2:$E$65,3,FALSE),"no")</f>
        <v>Prestamos Personales</v>
      </c>
    </row>
    <row r="63" spans="1:41" x14ac:dyDescent="0.35">
      <c r="A63">
        <v>131731003</v>
      </c>
      <c r="B63">
        <v>80</v>
      </c>
      <c r="C63">
        <v>86774</v>
      </c>
      <c r="D63">
        <v>42931</v>
      </c>
      <c r="E63">
        <v>0</v>
      </c>
      <c r="F63" s="1">
        <v>46142</v>
      </c>
      <c r="G63" s="1">
        <v>46399</v>
      </c>
      <c r="H63" s="1">
        <v>46034</v>
      </c>
      <c r="I63">
        <v>360</v>
      </c>
      <c r="J63">
        <v>2</v>
      </c>
      <c r="K63" s="11">
        <v>73</v>
      </c>
      <c r="L63">
        <v>1</v>
      </c>
      <c r="M63">
        <v>2</v>
      </c>
      <c r="N63" t="s">
        <v>92</v>
      </c>
      <c r="O63" t="s">
        <v>93</v>
      </c>
      <c r="P63">
        <v>999</v>
      </c>
      <c r="Q63" s="1" t="s">
        <v>94</v>
      </c>
      <c r="R63" s="12">
        <v>46034</v>
      </c>
      <c r="S63" s="12">
        <v>800000</v>
      </c>
      <c r="T63" s="12">
        <v>-702143.04</v>
      </c>
      <c r="U63" s="12">
        <v>-508.4</v>
      </c>
      <c r="V63" s="12">
        <v>-702143.04</v>
      </c>
      <c r="W63" s="12">
        <v>-68810.02</v>
      </c>
      <c r="X63" s="12">
        <v>7709.53</v>
      </c>
      <c r="Y63" t="str">
        <f t="shared" si="1"/>
        <v>Sit.Normal</v>
      </c>
      <c r="Z63">
        <f t="shared" si="11"/>
        <v>1</v>
      </c>
      <c r="AB63">
        <f>VLOOKUP(A63,rubros_a_considerar!$A$2:$A$13,1,FALSE)</f>
        <v>131731003</v>
      </c>
      <c r="AC63" s="2">
        <f t="shared" si="0"/>
        <v>-770953.06</v>
      </c>
      <c r="AD63" s="4">
        <f>IF(Z63&lt;=1,Diccionario!$M$2,Diccionario!$M$3)</f>
        <v>1.4999999999999999E-2</v>
      </c>
      <c r="AE63" s="93">
        <f t="shared" si="12"/>
        <v>4.1406369609475746E-5</v>
      </c>
      <c r="AF63">
        <f t="shared" si="13"/>
        <v>257</v>
      </c>
      <c r="AG63" s="5">
        <f t="shared" si="14"/>
        <v>257</v>
      </c>
      <c r="AH63">
        <f t="shared" si="15"/>
        <v>257</v>
      </c>
      <c r="AI63">
        <f t="shared" si="16"/>
        <v>128.27209510301478</v>
      </c>
      <c r="AJ63" s="4">
        <f t="shared" si="17"/>
        <v>1.4999999999999999E-2</v>
      </c>
      <c r="AK63">
        <f>IF(Z63&lt;=3,Diccionario!$O$2,IF(Z63=4,Diccionario!$O$5,Diccionario!$O$6))</f>
        <v>0.66499985814979368</v>
      </c>
      <c r="AL63">
        <f t="shared" si="18"/>
        <v>1</v>
      </c>
      <c r="AM63" s="3">
        <f t="shared" si="10"/>
        <v>770953.06</v>
      </c>
      <c r="AN63" s="95">
        <f>MIN(AJ63*AK63*AM63*(1+'[2]Pesos escenarios'!$F$8/2),AM63)</f>
        <v>10249.731349430935</v>
      </c>
      <c r="AO63" t="str">
        <f>IFERROR(VLOOKUP(A63,Diccionario!$C$2:$E$65,3,FALSE),"no")</f>
        <v>Prestamos Personales</v>
      </c>
    </row>
    <row r="64" spans="1:41" x14ac:dyDescent="0.35">
      <c r="A64">
        <v>131731003</v>
      </c>
      <c r="B64">
        <v>80</v>
      </c>
      <c r="C64">
        <v>84457</v>
      </c>
      <c r="D64">
        <v>42922</v>
      </c>
      <c r="E64">
        <v>0</v>
      </c>
      <c r="F64" s="1">
        <v>46142</v>
      </c>
      <c r="G64" s="1">
        <v>46398</v>
      </c>
      <c r="H64" s="1">
        <v>46031</v>
      </c>
      <c r="I64">
        <v>362</v>
      </c>
      <c r="J64">
        <v>2</v>
      </c>
      <c r="K64" s="11">
        <v>73</v>
      </c>
      <c r="L64">
        <v>1</v>
      </c>
      <c r="M64">
        <v>2</v>
      </c>
      <c r="N64" t="s">
        <v>92</v>
      </c>
      <c r="O64" t="s">
        <v>93</v>
      </c>
      <c r="P64">
        <v>999</v>
      </c>
      <c r="Q64" s="1" t="s">
        <v>94</v>
      </c>
      <c r="R64" s="12">
        <v>46031</v>
      </c>
      <c r="S64" s="12">
        <v>800000</v>
      </c>
      <c r="T64" s="12">
        <v>-702170.25</v>
      </c>
      <c r="U64" s="12">
        <v>-508.42</v>
      </c>
      <c r="V64" s="12">
        <v>-702170.25</v>
      </c>
      <c r="W64" s="12">
        <v>-73025.710000000006</v>
      </c>
      <c r="X64" s="12">
        <v>7751.96</v>
      </c>
      <c r="Y64" t="str">
        <f t="shared" si="1"/>
        <v>Sit.Normal</v>
      </c>
      <c r="Z64">
        <f t="shared" si="11"/>
        <v>1</v>
      </c>
      <c r="AB64">
        <f>VLOOKUP(A64,rubros_a_considerar!$A$2:$A$13,1,FALSE)</f>
        <v>131731003</v>
      </c>
      <c r="AC64" s="2">
        <f t="shared" si="0"/>
        <v>-775195.96</v>
      </c>
      <c r="AD64" s="4">
        <f>IF(Z64&lt;=1,Diccionario!$M$2,Diccionario!$M$3)</f>
        <v>1.4999999999999999E-2</v>
      </c>
      <c r="AE64" s="93">
        <f t="shared" si="12"/>
        <v>4.1406369609475746E-5</v>
      </c>
      <c r="AF64">
        <f t="shared" si="13"/>
        <v>256</v>
      </c>
      <c r="AG64" s="5">
        <f t="shared" si="14"/>
        <v>256</v>
      </c>
      <c r="AH64">
        <f t="shared" si="15"/>
        <v>256</v>
      </c>
      <c r="AI64">
        <f t="shared" si="16"/>
        <v>127.7738651830114</v>
      </c>
      <c r="AJ64" s="4">
        <f t="shared" si="17"/>
        <v>1.4999999999999999E-2</v>
      </c>
      <c r="AK64">
        <f>IF(Z64&lt;=3,Diccionario!$O$2,IF(Z64=4,Diccionario!$O$5,Diccionario!$O$6))</f>
        <v>0.66499985814979368</v>
      </c>
      <c r="AL64">
        <f t="shared" si="18"/>
        <v>1</v>
      </c>
      <c r="AM64" s="3">
        <f t="shared" si="10"/>
        <v>775195.96</v>
      </c>
      <c r="AN64" s="95">
        <f>MIN(AJ64*AK64*AM64*(1+'[2]Pesos escenarios'!$F$8/2),AM64)</f>
        <v>10306.14021191408</v>
      </c>
      <c r="AO64" t="str">
        <f>IFERROR(VLOOKUP(A64,Diccionario!$C$2:$E$65,3,FALSE),"no")</f>
        <v>Prestamos Personales</v>
      </c>
    </row>
    <row r="65" spans="1:41" x14ac:dyDescent="0.35">
      <c r="A65">
        <v>131731003</v>
      </c>
      <c r="B65">
        <v>80</v>
      </c>
      <c r="C65">
        <v>57497</v>
      </c>
      <c r="D65">
        <v>42937</v>
      </c>
      <c r="E65">
        <v>0</v>
      </c>
      <c r="F65" s="1">
        <v>46142</v>
      </c>
      <c r="G65" s="1">
        <v>46413</v>
      </c>
      <c r="H65" s="1">
        <v>46038</v>
      </c>
      <c r="I65">
        <v>370</v>
      </c>
      <c r="J65">
        <v>2</v>
      </c>
      <c r="K65" s="11">
        <v>73</v>
      </c>
      <c r="L65">
        <v>1</v>
      </c>
      <c r="M65">
        <v>2</v>
      </c>
      <c r="N65" t="s">
        <v>92</v>
      </c>
      <c r="O65" t="s">
        <v>93</v>
      </c>
      <c r="P65">
        <v>999</v>
      </c>
      <c r="Q65" s="1" t="s">
        <v>94</v>
      </c>
      <c r="R65" s="12">
        <v>46038</v>
      </c>
      <c r="S65" s="12">
        <v>800000</v>
      </c>
      <c r="T65" s="12">
        <v>-715391.02</v>
      </c>
      <c r="U65" s="12">
        <v>-517.99</v>
      </c>
      <c r="V65" s="12">
        <v>-715391.02</v>
      </c>
      <c r="W65" s="12">
        <v>-49653.760000000002</v>
      </c>
      <c r="X65" s="12">
        <v>7650.45</v>
      </c>
      <c r="Y65" t="str">
        <f t="shared" si="1"/>
        <v>Sit.Normal</v>
      </c>
      <c r="Z65">
        <f t="shared" si="11"/>
        <v>1</v>
      </c>
      <c r="AB65">
        <f>VLOOKUP(A65,rubros_a_considerar!$A$2:$A$13,1,FALSE)</f>
        <v>131731003</v>
      </c>
      <c r="AC65" s="2">
        <f t="shared" si="0"/>
        <v>-765044.78</v>
      </c>
      <c r="AD65" s="4">
        <f>IF(Z65&lt;=1,Diccionario!$M$2,Diccionario!$M$3)</f>
        <v>1.4999999999999999E-2</v>
      </c>
      <c r="AE65" s="93">
        <f t="shared" si="12"/>
        <v>4.1406369609475746E-5</v>
      </c>
      <c r="AF65">
        <f t="shared" si="13"/>
        <v>271</v>
      </c>
      <c r="AG65" s="5">
        <f t="shared" si="14"/>
        <v>271</v>
      </c>
      <c r="AH65">
        <f t="shared" si="15"/>
        <v>271</v>
      </c>
      <c r="AI65">
        <f t="shared" si="16"/>
        <v>135.24658831771023</v>
      </c>
      <c r="AJ65" s="4">
        <f t="shared" si="17"/>
        <v>1.4999999999999999E-2</v>
      </c>
      <c r="AK65">
        <f>IF(Z65&lt;=3,Diccionario!$O$2,IF(Z65=4,Diccionario!$O$5,Diccionario!$O$6))</f>
        <v>0.66499985814979368</v>
      </c>
      <c r="AL65">
        <f t="shared" si="18"/>
        <v>1</v>
      </c>
      <c r="AM65" s="3">
        <f t="shared" si="10"/>
        <v>765044.78</v>
      </c>
      <c r="AN65" s="95">
        <f>MIN(AJ65*AK65*AM65*(1+'[2]Pesos escenarios'!$F$8/2),AM65)</f>
        <v>10171.181453361754</v>
      </c>
      <c r="AO65" t="str">
        <f>IFERROR(VLOOKUP(A65,Diccionario!$C$2:$E$65,3,FALSE),"no")</f>
        <v>Prestamos Personales</v>
      </c>
    </row>
    <row r="66" spans="1:41" x14ac:dyDescent="0.35">
      <c r="A66">
        <v>131731003</v>
      </c>
      <c r="B66">
        <v>80</v>
      </c>
      <c r="C66">
        <v>84662</v>
      </c>
      <c r="D66">
        <v>42960</v>
      </c>
      <c r="E66">
        <v>0</v>
      </c>
      <c r="F66" s="1">
        <v>46142</v>
      </c>
      <c r="G66" s="1">
        <v>46461</v>
      </c>
      <c r="H66" s="1">
        <v>46094</v>
      </c>
      <c r="I66">
        <v>362</v>
      </c>
      <c r="J66">
        <v>2</v>
      </c>
      <c r="K66" s="11">
        <v>73</v>
      </c>
      <c r="L66">
        <v>1</v>
      </c>
      <c r="M66">
        <v>2</v>
      </c>
      <c r="N66" t="s">
        <v>92</v>
      </c>
      <c r="O66" t="s">
        <v>93</v>
      </c>
      <c r="P66">
        <v>999</v>
      </c>
      <c r="Q66" s="1" t="s">
        <v>94</v>
      </c>
      <c r="R66" s="12">
        <v>46094</v>
      </c>
      <c r="S66" s="12">
        <v>750000</v>
      </c>
      <c r="T66" s="12">
        <v>-750000</v>
      </c>
      <c r="U66" s="12">
        <v>-543.04999999999995</v>
      </c>
      <c r="V66" s="12">
        <v>-750000</v>
      </c>
      <c r="W66" s="12">
        <v>-72439.63</v>
      </c>
      <c r="X66" s="12">
        <v>8224.4</v>
      </c>
      <c r="Y66" t="str">
        <f t="shared" si="1"/>
        <v>Sit.Normal</v>
      </c>
      <c r="Z66">
        <f t="shared" ref="Z66:Z89" si="19">IF(Y66="Sit.Normal",1,IF(Y66="Riesgo potencia",2,IF(Y66="Con Problemas",3,IF(Y66="Alto Riesgo",4,IF(Y66="Irrecuperable",5,IF(Y66="Irrec Disp Tecn",6,IF(Y66="Sin identificación",0,"")))))))</f>
        <v>1</v>
      </c>
      <c r="AB66">
        <f>VLOOKUP(A66,rubros_a_considerar!$A$2:$A$13,1,FALSE)</f>
        <v>131731003</v>
      </c>
      <c r="AC66" s="2">
        <f t="shared" ref="AC66:AC129" si="20">T66+W66</f>
        <v>-822439.63</v>
      </c>
      <c r="AD66" s="4">
        <f>IF(Z66&lt;=1,Diccionario!$M$2,Diccionario!$M$3)</f>
        <v>1.4999999999999999E-2</v>
      </c>
      <c r="AE66" s="93">
        <f t="shared" ref="AE66:AE89" si="21">1-(1-AD66)^(1/365)</f>
        <v>4.1406369609475746E-5</v>
      </c>
      <c r="AF66">
        <f t="shared" ref="AF66:AF89" si="22">+IFERROR(G66-$AR$1,0)</f>
        <v>319</v>
      </c>
      <c r="AG66" s="5">
        <f t="shared" ref="AG66:AG89" si="23">+IF(AF66&lt;=0,10*365,AF66)</f>
        <v>319</v>
      </c>
      <c r="AH66">
        <f t="shared" ref="AH66:AH89" si="24">+IF(Z66&lt;=1,MIN(AG66,365),AG66)</f>
        <v>319</v>
      </c>
      <c r="AI66">
        <f t="shared" ref="AI66:AI89" si="25">+(1-(AG66+1)*(1-AE66)^AG66+AG66*(1-AE66)^(AG66+1))/((1-(1-AE66)^AG66)*AE66)-0.5</f>
        <v>159.14886786668782</v>
      </c>
      <c r="AJ66" s="4">
        <f t="shared" ref="AJ66:AJ89" si="26">+IF(Z66&lt;3,AD66,1)</f>
        <v>1.4999999999999999E-2</v>
      </c>
      <c r="AK66">
        <f>IF(Z66&lt;=3,Diccionario!$O$2,IF(Z66=4,Diccionario!$O$5,Diccionario!$O$6))</f>
        <v>0.66499985814979368</v>
      </c>
      <c r="AL66">
        <f t="shared" ref="AL66:AL89" si="27">+IF(Z66&lt;=1,1,IF(Z66=2,2,3))</f>
        <v>1</v>
      </c>
      <c r="AM66" s="3">
        <f t="shared" si="10"/>
        <v>822439.63</v>
      </c>
      <c r="AN66" s="95">
        <f>MIN(AJ66*AK66*AM66*(1+'[2]Pesos escenarios'!$F$8/2),AM66)</f>
        <v>10934.239314940105</v>
      </c>
      <c r="AO66" t="str">
        <f>IFERROR(VLOOKUP(A66,Diccionario!$C$2:$E$65,3,FALSE),"no")</f>
        <v>Prestamos Personales</v>
      </c>
    </row>
    <row r="67" spans="1:41" x14ac:dyDescent="0.35">
      <c r="A67">
        <v>131731003</v>
      </c>
      <c r="B67">
        <v>80</v>
      </c>
      <c r="C67">
        <v>58139</v>
      </c>
      <c r="D67">
        <v>42954</v>
      </c>
      <c r="E67">
        <v>0</v>
      </c>
      <c r="F67" s="1">
        <v>46142</v>
      </c>
      <c r="G67" s="1">
        <v>46454</v>
      </c>
      <c r="H67" s="1">
        <v>46087</v>
      </c>
      <c r="I67">
        <v>362</v>
      </c>
      <c r="J67">
        <v>2</v>
      </c>
      <c r="K67" s="11">
        <v>73</v>
      </c>
      <c r="L67">
        <v>1</v>
      </c>
      <c r="M67">
        <v>2</v>
      </c>
      <c r="N67" t="s">
        <v>92</v>
      </c>
      <c r="O67" t="s">
        <v>93</v>
      </c>
      <c r="P67">
        <v>999</v>
      </c>
      <c r="Q67" s="1" t="s">
        <v>94</v>
      </c>
      <c r="R67" s="12">
        <v>46087</v>
      </c>
      <c r="S67" s="12">
        <v>800000</v>
      </c>
      <c r="T67" s="12">
        <v>-752447.08</v>
      </c>
      <c r="U67" s="12">
        <v>-544.82000000000005</v>
      </c>
      <c r="V67" s="12">
        <v>-752447.08</v>
      </c>
      <c r="W67" s="12">
        <v>-37622.35</v>
      </c>
      <c r="X67" s="12">
        <v>7900.69</v>
      </c>
      <c r="Y67" t="str">
        <f t="shared" ref="Y67:Y130" si="28">TRIM(O67)</f>
        <v>Sit.Normal</v>
      </c>
      <c r="Z67">
        <f t="shared" si="19"/>
        <v>1</v>
      </c>
      <c r="AB67">
        <f>VLOOKUP(A67,rubros_a_considerar!$A$2:$A$13,1,FALSE)</f>
        <v>131731003</v>
      </c>
      <c r="AC67" s="2">
        <f t="shared" si="20"/>
        <v>-790069.42999999993</v>
      </c>
      <c r="AD67" s="4">
        <f>IF(Z67&lt;=1,Diccionario!$M$2,Diccionario!$M$3)</f>
        <v>1.4999999999999999E-2</v>
      </c>
      <c r="AE67" s="93">
        <f t="shared" si="21"/>
        <v>4.1406369609475746E-5</v>
      </c>
      <c r="AF67">
        <f t="shared" si="22"/>
        <v>312</v>
      </c>
      <c r="AG67" s="5">
        <f t="shared" si="23"/>
        <v>312</v>
      </c>
      <c r="AH67">
        <f t="shared" si="24"/>
        <v>312</v>
      </c>
      <c r="AI67">
        <f t="shared" si="25"/>
        <v>155.66410911098095</v>
      </c>
      <c r="AJ67" s="4">
        <f t="shared" si="26"/>
        <v>1.4999999999999999E-2</v>
      </c>
      <c r="AK67">
        <f>IF(Z67&lt;=3,Diccionario!$O$2,IF(Z67=4,Diccionario!$O$5,Diccionario!$O$6))</f>
        <v>0.66499985814979368</v>
      </c>
      <c r="AL67">
        <f t="shared" si="27"/>
        <v>1</v>
      </c>
      <c r="AM67" s="3">
        <f t="shared" ref="AM67:AM130" si="29">+IF(AC67&lt;0,-AC67,0)</f>
        <v>790069.42999999993</v>
      </c>
      <c r="AN67" s="95">
        <f>MIN(AJ67*AK67*AM67*(1+'[2]Pesos escenarios'!$F$8/2),AM67)</f>
        <v>10503.88126729535</v>
      </c>
      <c r="AO67" t="str">
        <f>IFERROR(VLOOKUP(A67,Diccionario!$C$2:$E$65,3,FALSE),"no")</f>
        <v>Prestamos Personales</v>
      </c>
    </row>
    <row r="68" spans="1:41" x14ac:dyDescent="0.35">
      <c r="A68">
        <v>131731003</v>
      </c>
      <c r="B68">
        <v>80</v>
      </c>
      <c r="C68">
        <v>85061</v>
      </c>
      <c r="D68">
        <v>42961</v>
      </c>
      <c r="E68">
        <v>0</v>
      </c>
      <c r="F68" s="1">
        <v>46142</v>
      </c>
      <c r="G68" s="1">
        <v>46461</v>
      </c>
      <c r="H68" s="1">
        <v>46094</v>
      </c>
      <c r="I68">
        <v>362</v>
      </c>
      <c r="J68">
        <v>2</v>
      </c>
      <c r="K68" s="11">
        <v>73</v>
      </c>
      <c r="L68">
        <v>1</v>
      </c>
      <c r="M68">
        <v>2</v>
      </c>
      <c r="N68" t="s">
        <v>92</v>
      </c>
      <c r="O68" t="s">
        <v>93</v>
      </c>
      <c r="P68">
        <v>999</v>
      </c>
      <c r="Q68" s="1" t="s">
        <v>94</v>
      </c>
      <c r="R68" s="12">
        <v>46094</v>
      </c>
      <c r="S68" s="12">
        <v>800000</v>
      </c>
      <c r="T68" s="12">
        <v>-752455.11</v>
      </c>
      <c r="U68" s="12">
        <v>-544.82000000000005</v>
      </c>
      <c r="V68" s="12">
        <v>-752455.11</v>
      </c>
      <c r="W68" s="12">
        <v>-27088.38</v>
      </c>
      <c r="X68" s="12">
        <v>7795.43</v>
      </c>
      <c r="Y68" t="str">
        <f t="shared" si="28"/>
        <v>Sit.Normal</v>
      </c>
      <c r="Z68">
        <f t="shared" si="19"/>
        <v>1</v>
      </c>
      <c r="AB68">
        <f>VLOOKUP(A68,rubros_a_considerar!$A$2:$A$13,1,FALSE)</f>
        <v>131731003</v>
      </c>
      <c r="AC68" s="2">
        <f t="shared" si="20"/>
        <v>-779543.49</v>
      </c>
      <c r="AD68" s="4">
        <f>IF(Z68&lt;=1,Diccionario!$M$2,Diccionario!$M$3)</f>
        <v>1.4999999999999999E-2</v>
      </c>
      <c r="AE68" s="93">
        <f t="shared" si="21"/>
        <v>4.1406369609475746E-5</v>
      </c>
      <c r="AF68">
        <f t="shared" si="22"/>
        <v>319</v>
      </c>
      <c r="AG68" s="5">
        <f t="shared" si="23"/>
        <v>319</v>
      </c>
      <c r="AH68">
        <f t="shared" si="24"/>
        <v>319</v>
      </c>
      <c r="AI68">
        <f t="shared" si="25"/>
        <v>159.14886786668782</v>
      </c>
      <c r="AJ68" s="4">
        <f t="shared" si="26"/>
        <v>1.4999999999999999E-2</v>
      </c>
      <c r="AK68">
        <f>IF(Z68&lt;=3,Diccionario!$O$2,IF(Z68=4,Diccionario!$O$5,Diccionario!$O$6))</f>
        <v>0.66499985814979368</v>
      </c>
      <c r="AL68">
        <f t="shared" si="27"/>
        <v>1</v>
      </c>
      <c r="AM68" s="3">
        <f t="shared" si="29"/>
        <v>779543.49</v>
      </c>
      <c r="AN68" s="95">
        <f>MIN(AJ68*AK68*AM68*(1+'[2]Pesos escenarios'!$F$8/2),AM68)</f>
        <v>10363.94011808942</v>
      </c>
      <c r="AO68" t="str">
        <f>IFERROR(VLOOKUP(A68,Diccionario!$C$2:$E$65,3,FALSE),"no")</f>
        <v>Prestamos Personales</v>
      </c>
    </row>
    <row r="69" spans="1:41" x14ac:dyDescent="0.35">
      <c r="A69">
        <v>131731003</v>
      </c>
      <c r="B69">
        <v>80</v>
      </c>
      <c r="C69">
        <v>85825</v>
      </c>
      <c r="D69">
        <v>42947</v>
      </c>
      <c r="E69">
        <v>0</v>
      </c>
      <c r="F69" s="1">
        <v>46142</v>
      </c>
      <c r="G69" s="1">
        <v>46433</v>
      </c>
      <c r="H69" s="1">
        <v>46066</v>
      </c>
      <c r="I69">
        <v>362</v>
      </c>
      <c r="J69">
        <v>2</v>
      </c>
      <c r="K69" s="11">
        <v>73</v>
      </c>
      <c r="L69">
        <v>1</v>
      </c>
      <c r="M69">
        <v>2</v>
      </c>
      <c r="N69" t="s">
        <v>92</v>
      </c>
      <c r="O69" t="s">
        <v>93</v>
      </c>
      <c r="P69">
        <v>999</v>
      </c>
      <c r="Q69" s="1" t="s">
        <v>94</v>
      </c>
      <c r="R69" s="12">
        <v>46066</v>
      </c>
      <c r="S69" s="12">
        <v>800000</v>
      </c>
      <c r="T69" s="12">
        <v>-752482</v>
      </c>
      <c r="U69" s="12">
        <v>-544.84</v>
      </c>
      <c r="V69" s="12">
        <v>-752482</v>
      </c>
      <c r="W69" s="12">
        <v>-72238.28</v>
      </c>
      <c r="X69" s="12">
        <v>8247.2000000000007</v>
      </c>
      <c r="Y69" t="str">
        <f t="shared" si="28"/>
        <v>Sit.Normal</v>
      </c>
      <c r="Z69">
        <f t="shared" si="19"/>
        <v>1</v>
      </c>
      <c r="AB69">
        <f>VLOOKUP(A69,rubros_a_considerar!$A$2:$A$13,1,FALSE)</f>
        <v>131731003</v>
      </c>
      <c r="AC69" s="2">
        <f t="shared" si="20"/>
        <v>-824720.28</v>
      </c>
      <c r="AD69" s="4">
        <f>IF(Z69&lt;=1,Diccionario!$M$2,Diccionario!$M$3)</f>
        <v>1.4999999999999999E-2</v>
      </c>
      <c r="AE69" s="93">
        <f t="shared" si="21"/>
        <v>4.1406369609475746E-5</v>
      </c>
      <c r="AF69">
        <f t="shared" si="22"/>
        <v>291</v>
      </c>
      <c r="AG69" s="5">
        <f t="shared" si="23"/>
        <v>291</v>
      </c>
      <c r="AH69">
        <f t="shared" si="24"/>
        <v>291</v>
      </c>
      <c r="AI69">
        <f t="shared" si="25"/>
        <v>145.20780369850635</v>
      </c>
      <c r="AJ69" s="4">
        <f t="shared" si="26"/>
        <v>1.4999999999999999E-2</v>
      </c>
      <c r="AK69">
        <f>IF(Z69&lt;=3,Diccionario!$O$2,IF(Z69=4,Diccionario!$O$5,Diccionario!$O$6))</f>
        <v>0.66499985814979368</v>
      </c>
      <c r="AL69">
        <f t="shared" si="27"/>
        <v>1</v>
      </c>
      <c r="AM69" s="3">
        <f t="shared" si="29"/>
        <v>824720.28</v>
      </c>
      <c r="AN69" s="95">
        <f>MIN(AJ69*AK69*AM69*(1+'[2]Pesos escenarios'!$F$8/2),AM69)</f>
        <v>10964.560291682943</v>
      </c>
      <c r="AO69" t="str">
        <f>IFERROR(VLOOKUP(A69,Diccionario!$C$2:$E$65,3,FALSE),"no")</f>
        <v>Prestamos Personales</v>
      </c>
    </row>
    <row r="70" spans="1:41" x14ac:dyDescent="0.35">
      <c r="A70">
        <v>131731003</v>
      </c>
      <c r="B70">
        <v>80</v>
      </c>
      <c r="C70">
        <v>84235</v>
      </c>
      <c r="D70">
        <v>42958</v>
      </c>
      <c r="E70">
        <v>0</v>
      </c>
      <c r="F70" s="1">
        <v>46142</v>
      </c>
      <c r="G70" s="1">
        <v>46458</v>
      </c>
      <c r="H70" s="1">
        <v>46093</v>
      </c>
      <c r="I70">
        <v>360</v>
      </c>
      <c r="J70">
        <v>2</v>
      </c>
      <c r="K70" s="11">
        <v>73</v>
      </c>
      <c r="L70">
        <v>1</v>
      </c>
      <c r="M70">
        <v>2</v>
      </c>
      <c r="N70" t="s">
        <v>92</v>
      </c>
      <c r="O70" t="s">
        <v>93</v>
      </c>
      <c r="P70">
        <v>999</v>
      </c>
      <c r="Q70" s="1" t="s">
        <v>94</v>
      </c>
      <c r="R70" s="12">
        <v>46093</v>
      </c>
      <c r="S70" s="12">
        <v>800000</v>
      </c>
      <c r="T70" s="12">
        <v>-754072.46</v>
      </c>
      <c r="U70" s="12">
        <v>-546</v>
      </c>
      <c r="V70" s="12">
        <v>-754072.46</v>
      </c>
      <c r="W70" s="12">
        <v>-27146.61</v>
      </c>
      <c r="X70" s="12">
        <v>7812.19</v>
      </c>
      <c r="Y70" t="str">
        <f t="shared" si="28"/>
        <v>Sit.Normal</v>
      </c>
      <c r="Z70">
        <f t="shared" si="19"/>
        <v>1</v>
      </c>
      <c r="AB70">
        <f>VLOOKUP(A70,rubros_a_considerar!$A$2:$A$13,1,FALSE)</f>
        <v>131731003</v>
      </c>
      <c r="AC70" s="2">
        <f t="shared" si="20"/>
        <v>-781219.07</v>
      </c>
      <c r="AD70" s="4">
        <f>IF(Z70&lt;=1,Diccionario!$M$2,Diccionario!$M$3)</f>
        <v>1.4999999999999999E-2</v>
      </c>
      <c r="AE70" s="93">
        <f t="shared" si="21"/>
        <v>4.1406369609475746E-5</v>
      </c>
      <c r="AF70">
        <f t="shared" si="22"/>
        <v>316</v>
      </c>
      <c r="AG70" s="5">
        <f t="shared" si="23"/>
        <v>316</v>
      </c>
      <c r="AH70">
        <f t="shared" si="24"/>
        <v>316</v>
      </c>
      <c r="AI70">
        <f t="shared" si="25"/>
        <v>157.65544099126541</v>
      </c>
      <c r="AJ70" s="4">
        <f t="shared" si="26"/>
        <v>1.4999999999999999E-2</v>
      </c>
      <c r="AK70">
        <f>IF(Z70&lt;=3,Diccionario!$O$2,IF(Z70=4,Diccionario!$O$5,Diccionario!$O$6))</f>
        <v>0.66499985814979368</v>
      </c>
      <c r="AL70">
        <f t="shared" si="27"/>
        <v>1</v>
      </c>
      <c r="AM70" s="3">
        <f t="shared" si="29"/>
        <v>781219.07</v>
      </c>
      <c r="AN70" s="95">
        <f>MIN(AJ70*AK70*AM70*(1+'[2]Pesos escenarios'!$F$8/2),AM70)</f>
        <v>10386.216759490233</v>
      </c>
      <c r="AO70" t="str">
        <f>IFERROR(VLOOKUP(A70,Diccionario!$C$2:$E$65,3,FALSE),"no")</f>
        <v>Prestamos Personales</v>
      </c>
    </row>
    <row r="71" spans="1:41" x14ac:dyDescent="0.35">
      <c r="A71">
        <v>131731003</v>
      </c>
      <c r="B71">
        <v>80</v>
      </c>
      <c r="C71">
        <v>55367</v>
      </c>
      <c r="D71">
        <v>42979</v>
      </c>
      <c r="E71">
        <v>0</v>
      </c>
      <c r="F71" s="1">
        <v>46142</v>
      </c>
      <c r="G71" s="1">
        <v>46497</v>
      </c>
      <c r="H71" s="1">
        <v>46132</v>
      </c>
      <c r="I71">
        <v>360</v>
      </c>
      <c r="J71">
        <v>2</v>
      </c>
      <c r="K71" s="11">
        <v>73</v>
      </c>
      <c r="L71">
        <v>1</v>
      </c>
      <c r="M71">
        <v>2</v>
      </c>
      <c r="N71" t="s">
        <v>92</v>
      </c>
      <c r="O71" t="s">
        <v>93</v>
      </c>
      <c r="P71">
        <v>999</v>
      </c>
      <c r="Q71" s="1" t="s">
        <v>94</v>
      </c>
      <c r="R71" s="12">
        <v>46132</v>
      </c>
      <c r="S71" s="12">
        <v>800000</v>
      </c>
      <c r="T71" s="12">
        <v>-800000</v>
      </c>
      <c r="U71" s="12">
        <v>-579.25</v>
      </c>
      <c r="V71" s="12">
        <v>-800000</v>
      </c>
      <c r="W71" s="12">
        <v>-17600</v>
      </c>
      <c r="X71" s="12">
        <v>8176</v>
      </c>
      <c r="Y71" t="str">
        <f t="shared" si="28"/>
        <v>Sit.Normal</v>
      </c>
      <c r="Z71">
        <f t="shared" si="19"/>
        <v>1</v>
      </c>
      <c r="AB71">
        <f>VLOOKUP(A71,rubros_a_considerar!$A$2:$A$13,1,FALSE)</f>
        <v>131731003</v>
      </c>
      <c r="AC71" s="2">
        <f t="shared" si="20"/>
        <v>-817600</v>
      </c>
      <c r="AD71" s="4">
        <f>IF(Z71&lt;=1,Diccionario!$M$2,Diccionario!$M$3)</f>
        <v>1.4999999999999999E-2</v>
      </c>
      <c r="AE71" s="93">
        <f t="shared" si="21"/>
        <v>4.1406369609475746E-5</v>
      </c>
      <c r="AF71">
        <f t="shared" si="22"/>
        <v>355</v>
      </c>
      <c r="AG71" s="5">
        <f t="shared" si="23"/>
        <v>355</v>
      </c>
      <c r="AH71">
        <f t="shared" si="24"/>
        <v>355</v>
      </c>
      <c r="AI71">
        <f t="shared" si="25"/>
        <v>177.06514293667766</v>
      </c>
      <c r="AJ71" s="4">
        <f t="shared" si="26"/>
        <v>1.4999999999999999E-2</v>
      </c>
      <c r="AK71">
        <f>IF(Z71&lt;=3,Diccionario!$O$2,IF(Z71=4,Diccionario!$O$5,Diccionario!$O$6))</f>
        <v>0.66499985814979368</v>
      </c>
      <c r="AL71">
        <f t="shared" si="27"/>
        <v>1</v>
      </c>
      <c r="AM71" s="3">
        <f t="shared" si="29"/>
        <v>817600</v>
      </c>
      <c r="AN71" s="95">
        <f>MIN(AJ71*AK71*AM71*(1+'[2]Pesos escenarios'!$F$8/2),AM71)</f>
        <v>10869.896996445843</v>
      </c>
      <c r="AO71" t="str">
        <f>IFERROR(VLOOKUP(A71,Diccionario!$C$2:$E$65,3,FALSE),"no")</f>
        <v>Prestamos Personales</v>
      </c>
    </row>
    <row r="72" spans="1:41" x14ac:dyDescent="0.35">
      <c r="A72">
        <v>131731003</v>
      </c>
      <c r="B72">
        <v>80</v>
      </c>
      <c r="C72">
        <v>59352</v>
      </c>
      <c r="D72">
        <v>42972</v>
      </c>
      <c r="E72">
        <v>0</v>
      </c>
      <c r="F72" s="1">
        <v>46142</v>
      </c>
      <c r="G72" s="1">
        <v>46486</v>
      </c>
      <c r="H72" s="1">
        <v>46121</v>
      </c>
      <c r="I72">
        <v>360</v>
      </c>
      <c r="J72">
        <v>2</v>
      </c>
      <c r="K72" s="11">
        <v>73</v>
      </c>
      <c r="L72">
        <v>1</v>
      </c>
      <c r="M72">
        <v>2</v>
      </c>
      <c r="N72" t="s">
        <v>92</v>
      </c>
      <c r="O72" t="s">
        <v>93</v>
      </c>
      <c r="P72">
        <v>999</v>
      </c>
      <c r="Q72" s="1" t="s">
        <v>94</v>
      </c>
      <c r="R72" s="12">
        <v>46121</v>
      </c>
      <c r="S72" s="12">
        <v>800000</v>
      </c>
      <c r="T72" s="12">
        <v>-800000</v>
      </c>
      <c r="U72" s="12">
        <v>-579.25</v>
      </c>
      <c r="V72" s="12">
        <v>-800000</v>
      </c>
      <c r="W72" s="12">
        <v>-35200</v>
      </c>
      <c r="X72" s="12">
        <v>8352</v>
      </c>
      <c r="Y72" t="str">
        <f t="shared" si="28"/>
        <v>Sit.Normal</v>
      </c>
      <c r="Z72">
        <f t="shared" si="19"/>
        <v>1</v>
      </c>
      <c r="AB72">
        <f>VLOOKUP(A72,rubros_a_considerar!$A$2:$A$13,1,FALSE)</f>
        <v>131731003</v>
      </c>
      <c r="AC72" s="2">
        <f t="shared" si="20"/>
        <v>-835200</v>
      </c>
      <c r="AD72" s="4">
        <f>IF(Z72&lt;=1,Diccionario!$M$2,Diccionario!$M$3)</f>
        <v>1.4999999999999999E-2</v>
      </c>
      <c r="AE72" s="93">
        <f t="shared" si="21"/>
        <v>4.1406369609475746E-5</v>
      </c>
      <c r="AF72">
        <f t="shared" si="22"/>
        <v>344</v>
      </c>
      <c r="AG72" s="5">
        <f t="shared" si="23"/>
        <v>344</v>
      </c>
      <c r="AH72">
        <f t="shared" si="24"/>
        <v>344</v>
      </c>
      <c r="AI72">
        <f t="shared" si="25"/>
        <v>171.59167434391816</v>
      </c>
      <c r="AJ72" s="4">
        <f t="shared" si="26"/>
        <v>1.4999999999999999E-2</v>
      </c>
      <c r="AK72">
        <f>IF(Z72&lt;=3,Diccionario!$O$2,IF(Z72=4,Diccionario!$O$5,Diccionario!$O$6))</f>
        <v>0.66499985814979368</v>
      </c>
      <c r="AL72">
        <f t="shared" si="27"/>
        <v>1</v>
      </c>
      <c r="AM72" s="3">
        <f t="shared" si="29"/>
        <v>835200</v>
      </c>
      <c r="AN72" s="95">
        <f>MIN(AJ72*AK72*AM72*(1+'[2]Pesos escenarios'!$F$8/2),AM72)</f>
        <v>11103.886951359549</v>
      </c>
      <c r="AO72" t="str">
        <f>IFERROR(VLOOKUP(A72,Diccionario!$C$2:$E$65,3,FALSE),"no")</f>
        <v>Prestamos Personales</v>
      </c>
    </row>
    <row r="73" spans="1:41" x14ac:dyDescent="0.35">
      <c r="A73">
        <v>131731003</v>
      </c>
      <c r="B73">
        <v>80</v>
      </c>
      <c r="C73">
        <v>86116</v>
      </c>
      <c r="D73">
        <v>42971</v>
      </c>
      <c r="E73">
        <v>0</v>
      </c>
      <c r="F73" s="1">
        <v>46142</v>
      </c>
      <c r="G73" s="1">
        <v>46485</v>
      </c>
      <c r="H73" s="1">
        <v>46120</v>
      </c>
      <c r="I73">
        <v>360</v>
      </c>
      <c r="J73">
        <v>2</v>
      </c>
      <c r="K73" s="11">
        <v>73</v>
      </c>
      <c r="L73">
        <v>1</v>
      </c>
      <c r="M73">
        <v>2</v>
      </c>
      <c r="N73" t="s">
        <v>92</v>
      </c>
      <c r="O73" t="s">
        <v>93</v>
      </c>
      <c r="P73">
        <v>999</v>
      </c>
      <c r="Q73" s="1" t="s">
        <v>94</v>
      </c>
      <c r="R73" s="12">
        <v>46120</v>
      </c>
      <c r="S73" s="12">
        <v>800000</v>
      </c>
      <c r="T73" s="12">
        <v>-800000</v>
      </c>
      <c r="U73" s="12">
        <v>-579.25</v>
      </c>
      <c r="V73" s="12">
        <v>-800000</v>
      </c>
      <c r="W73" s="12">
        <v>-36800</v>
      </c>
      <c r="X73" s="12">
        <v>8368</v>
      </c>
      <c r="Y73" t="str">
        <f t="shared" si="28"/>
        <v>Sit.Normal</v>
      </c>
      <c r="Z73">
        <f t="shared" si="19"/>
        <v>1</v>
      </c>
      <c r="AB73">
        <f>VLOOKUP(A73,rubros_a_considerar!$A$2:$A$13,1,FALSE)</f>
        <v>131731003</v>
      </c>
      <c r="AC73" s="2">
        <f t="shared" si="20"/>
        <v>-836800</v>
      </c>
      <c r="AD73" s="4">
        <f>IF(Z73&lt;=1,Diccionario!$M$2,Diccionario!$M$3)</f>
        <v>1.4999999999999999E-2</v>
      </c>
      <c r="AE73" s="93">
        <f t="shared" si="21"/>
        <v>4.1406369609475746E-5</v>
      </c>
      <c r="AF73">
        <f t="shared" si="22"/>
        <v>343</v>
      </c>
      <c r="AG73" s="5">
        <f t="shared" si="23"/>
        <v>343</v>
      </c>
      <c r="AH73">
        <f t="shared" si="24"/>
        <v>343</v>
      </c>
      <c r="AI73">
        <f t="shared" si="25"/>
        <v>171.0940450544594</v>
      </c>
      <c r="AJ73" s="4">
        <f t="shared" si="26"/>
        <v>1.4999999999999999E-2</v>
      </c>
      <c r="AK73">
        <f>IF(Z73&lt;=3,Diccionario!$O$2,IF(Z73=4,Diccionario!$O$5,Diccionario!$O$6))</f>
        <v>0.66499985814979368</v>
      </c>
      <c r="AL73">
        <f t="shared" si="27"/>
        <v>1</v>
      </c>
      <c r="AM73" s="3">
        <f t="shared" si="29"/>
        <v>836800</v>
      </c>
      <c r="AN73" s="95">
        <f>MIN(AJ73*AK73*AM73*(1+'[2]Pesos escenarios'!$F$8/2),AM73)</f>
        <v>11125.158765442615</v>
      </c>
      <c r="AO73" t="str">
        <f>IFERROR(VLOOKUP(A73,Diccionario!$C$2:$E$65,3,FALSE),"no")</f>
        <v>Prestamos Personales</v>
      </c>
    </row>
    <row r="74" spans="1:41" x14ac:dyDescent="0.35">
      <c r="A74">
        <v>131731003</v>
      </c>
      <c r="B74">
        <v>80</v>
      </c>
      <c r="C74">
        <v>86883</v>
      </c>
      <c r="D74">
        <v>42962</v>
      </c>
      <c r="E74">
        <v>0</v>
      </c>
      <c r="F74" s="1">
        <v>46142</v>
      </c>
      <c r="G74" s="1">
        <v>46465</v>
      </c>
      <c r="H74" s="1">
        <v>46100</v>
      </c>
      <c r="I74">
        <v>360</v>
      </c>
      <c r="J74">
        <v>2</v>
      </c>
      <c r="K74" s="11">
        <v>73</v>
      </c>
      <c r="L74">
        <v>1</v>
      </c>
      <c r="M74">
        <v>2</v>
      </c>
      <c r="N74" t="s">
        <v>92</v>
      </c>
      <c r="O74" t="s">
        <v>93</v>
      </c>
      <c r="P74">
        <v>999</v>
      </c>
      <c r="Q74" s="1" t="s">
        <v>94</v>
      </c>
      <c r="R74" s="12">
        <v>46100</v>
      </c>
      <c r="S74" s="12">
        <v>800000</v>
      </c>
      <c r="T74" s="12">
        <v>-800000</v>
      </c>
      <c r="U74" s="12">
        <v>-579.25</v>
      </c>
      <c r="V74" s="12">
        <v>-800000</v>
      </c>
      <c r="W74" s="12">
        <v>-67476.73</v>
      </c>
      <c r="X74" s="12">
        <v>8674.77</v>
      </c>
      <c r="Y74" t="str">
        <f t="shared" si="28"/>
        <v>Sit.Normal</v>
      </c>
      <c r="Z74">
        <f t="shared" si="19"/>
        <v>1</v>
      </c>
      <c r="AB74">
        <f>VLOOKUP(A74,rubros_a_considerar!$A$2:$A$13,1,FALSE)</f>
        <v>131731003</v>
      </c>
      <c r="AC74" s="2">
        <f t="shared" si="20"/>
        <v>-867476.73</v>
      </c>
      <c r="AD74" s="4">
        <f>IF(Z74&lt;=1,Diccionario!$M$2,Diccionario!$M$3)</f>
        <v>1.4999999999999999E-2</v>
      </c>
      <c r="AE74" s="93">
        <f t="shared" si="21"/>
        <v>4.1406369609475746E-5</v>
      </c>
      <c r="AF74">
        <f t="shared" si="22"/>
        <v>323</v>
      </c>
      <c r="AG74" s="5">
        <f t="shared" si="23"/>
        <v>323</v>
      </c>
      <c r="AH74">
        <f t="shared" si="24"/>
        <v>323</v>
      </c>
      <c r="AI74">
        <f t="shared" si="25"/>
        <v>161.14000660677482</v>
      </c>
      <c r="AJ74" s="4">
        <f t="shared" si="26"/>
        <v>1.4999999999999999E-2</v>
      </c>
      <c r="AK74">
        <f>IF(Z74&lt;=3,Diccionario!$O$2,IF(Z74=4,Diccionario!$O$5,Diccionario!$O$6))</f>
        <v>0.66499985814979368</v>
      </c>
      <c r="AL74">
        <f t="shared" si="27"/>
        <v>1</v>
      </c>
      <c r="AM74" s="3">
        <f t="shared" si="29"/>
        <v>867476.73</v>
      </c>
      <c r="AN74" s="95">
        <f>MIN(AJ74*AK74*AM74*(1+'[2]Pesos escenarios'!$F$8/2),AM74)</f>
        <v>11533.002326215339</v>
      </c>
      <c r="AO74" t="str">
        <f>IFERROR(VLOOKUP(A74,Diccionario!$C$2:$E$65,3,FALSE),"no")</f>
        <v>Prestamos Personales</v>
      </c>
    </row>
    <row r="75" spans="1:41" x14ac:dyDescent="0.35">
      <c r="A75">
        <v>131731003</v>
      </c>
      <c r="B75">
        <v>80</v>
      </c>
      <c r="C75">
        <v>87005</v>
      </c>
      <c r="D75">
        <v>42982</v>
      </c>
      <c r="E75">
        <v>0</v>
      </c>
      <c r="F75" s="1">
        <v>46142</v>
      </c>
      <c r="G75" s="1">
        <v>46505</v>
      </c>
      <c r="H75" s="1">
        <v>46140</v>
      </c>
      <c r="I75">
        <v>360</v>
      </c>
      <c r="J75">
        <v>2</v>
      </c>
      <c r="K75" s="11">
        <v>73</v>
      </c>
      <c r="L75">
        <v>1</v>
      </c>
      <c r="M75">
        <v>2</v>
      </c>
      <c r="N75" t="s">
        <v>92</v>
      </c>
      <c r="O75" t="s">
        <v>93</v>
      </c>
      <c r="P75">
        <v>999</v>
      </c>
      <c r="Q75" s="1" t="s">
        <v>94</v>
      </c>
      <c r="R75" s="12">
        <v>46140</v>
      </c>
      <c r="S75" s="12">
        <v>800000</v>
      </c>
      <c r="T75" s="12">
        <v>-800000</v>
      </c>
      <c r="U75" s="12">
        <v>-579.25</v>
      </c>
      <c r="V75" s="12">
        <v>-800000</v>
      </c>
      <c r="W75" s="12">
        <v>-4800</v>
      </c>
      <c r="X75" s="12">
        <v>8048</v>
      </c>
      <c r="Y75" t="str">
        <f t="shared" si="28"/>
        <v>Sit.Normal</v>
      </c>
      <c r="Z75">
        <f t="shared" si="19"/>
        <v>1</v>
      </c>
      <c r="AB75">
        <f>VLOOKUP(A75,rubros_a_considerar!$A$2:$A$13,1,FALSE)</f>
        <v>131731003</v>
      </c>
      <c r="AC75" s="2">
        <f t="shared" si="20"/>
        <v>-804800</v>
      </c>
      <c r="AD75" s="4">
        <f>IF(Z75&lt;=1,Diccionario!$M$2,Diccionario!$M$3)</f>
        <v>1.4999999999999999E-2</v>
      </c>
      <c r="AE75" s="93">
        <f t="shared" si="21"/>
        <v>4.1406369609475746E-5</v>
      </c>
      <c r="AF75">
        <f t="shared" si="22"/>
        <v>363</v>
      </c>
      <c r="AG75" s="5">
        <f t="shared" si="23"/>
        <v>363</v>
      </c>
      <c r="AH75">
        <f t="shared" si="24"/>
        <v>363</v>
      </c>
      <c r="AI75">
        <f t="shared" si="25"/>
        <v>181.04532272002291</v>
      </c>
      <c r="AJ75" s="4">
        <f t="shared" si="26"/>
        <v>1.4999999999999999E-2</v>
      </c>
      <c r="AK75">
        <f>IF(Z75&lt;=3,Diccionario!$O$2,IF(Z75=4,Diccionario!$O$5,Diccionario!$O$6))</f>
        <v>0.66499985814979368</v>
      </c>
      <c r="AL75">
        <f t="shared" si="27"/>
        <v>1</v>
      </c>
      <c r="AM75" s="3">
        <f t="shared" si="29"/>
        <v>804800</v>
      </c>
      <c r="AN75" s="95">
        <f>MIN(AJ75*AK75*AM75*(1+'[2]Pesos escenarios'!$F$8/2),AM75)</f>
        <v>10699.72248378133</v>
      </c>
      <c r="AO75" t="str">
        <f>IFERROR(VLOOKUP(A75,Diccionario!$C$2:$E$65,3,FALSE),"no")</f>
        <v>Prestamos Personales</v>
      </c>
    </row>
    <row r="76" spans="1:41" x14ac:dyDescent="0.35">
      <c r="A76">
        <v>131731003</v>
      </c>
      <c r="B76">
        <v>80</v>
      </c>
      <c r="C76">
        <v>86107</v>
      </c>
      <c r="D76">
        <v>42766</v>
      </c>
      <c r="E76">
        <v>0</v>
      </c>
      <c r="F76" s="1">
        <v>46142</v>
      </c>
      <c r="G76" s="1">
        <v>46427</v>
      </c>
      <c r="H76" s="1">
        <v>45695</v>
      </c>
      <c r="I76">
        <v>732</v>
      </c>
      <c r="J76">
        <v>2</v>
      </c>
      <c r="K76" s="11">
        <v>52</v>
      </c>
      <c r="L76">
        <v>2</v>
      </c>
      <c r="M76">
        <v>2</v>
      </c>
      <c r="N76" t="s">
        <v>92</v>
      </c>
      <c r="O76" t="s">
        <v>93</v>
      </c>
      <c r="P76">
        <v>999</v>
      </c>
      <c r="Q76" s="1" t="s">
        <v>94</v>
      </c>
      <c r="R76" s="12">
        <v>45695</v>
      </c>
      <c r="S76" s="12">
        <v>1500000</v>
      </c>
      <c r="T76" s="12">
        <v>-811716.98</v>
      </c>
      <c r="U76" s="12">
        <v>-587.73</v>
      </c>
      <c r="V76" s="12">
        <v>-811716.98</v>
      </c>
      <c r="W76" s="12">
        <v>-25441.21</v>
      </c>
      <c r="X76" s="12">
        <v>8371.58</v>
      </c>
      <c r="Y76" t="str">
        <f t="shared" si="28"/>
        <v>Sit.Normal</v>
      </c>
      <c r="Z76">
        <f t="shared" si="19"/>
        <v>1</v>
      </c>
      <c r="AB76">
        <f>VLOOKUP(A76,rubros_a_considerar!$A$2:$A$13,1,FALSE)</f>
        <v>131731003</v>
      </c>
      <c r="AC76" s="2">
        <f t="shared" si="20"/>
        <v>-837158.19</v>
      </c>
      <c r="AD76" s="4">
        <f>IF(Z76&lt;=1,Diccionario!$M$2,Diccionario!$M$3)</f>
        <v>1.4999999999999999E-2</v>
      </c>
      <c r="AE76" s="93">
        <f t="shared" si="21"/>
        <v>4.1406369609475746E-5</v>
      </c>
      <c r="AF76">
        <f t="shared" si="22"/>
        <v>285</v>
      </c>
      <c r="AG76" s="5">
        <f t="shared" si="23"/>
        <v>285</v>
      </c>
      <c r="AH76">
        <f t="shared" si="24"/>
        <v>285</v>
      </c>
      <c r="AI76">
        <f t="shared" si="25"/>
        <v>142.21972899675896</v>
      </c>
      <c r="AJ76" s="4">
        <f t="shared" si="26"/>
        <v>1.4999999999999999E-2</v>
      </c>
      <c r="AK76">
        <f>IF(Z76&lt;=3,Diccionario!$O$2,IF(Z76=4,Diccionario!$O$5,Diccionario!$O$6))</f>
        <v>0.66499985814979368</v>
      </c>
      <c r="AL76">
        <f t="shared" si="27"/>
        <v>1</v>
      </c>
      <c r="AM76" s="3">
        <f t="shared" si="29"/>
        <v>837158.19</v>
      </c>
      <c r="AN76" s="95">
        <f>MIN(AJ76*AK76*AM76*(1+'[2]Pesos escenarios'!$F$8/2),AM76)</f>
        <v>11129.920859871621</v>
      </c>
      <c r="AO76" t="str">
        <f>IFERROR(VLOOKUP(A76,Diccionario!$C$2:$E$65,3,FALSE),"no")</f>
        <v>Prestamos Personales</v>
      </c>
    </row>
    <row r="77" spans="1:41" x14ac:dyDescent="0.35">
      <c r="A77">
        <v>171112001</v>
      </c>
      <c r="B77">
        <v>80</v>
      </c>
      <c r="C77">
        <v>2366</v>
      </c>
      <c r="D77">
        <v>42674</v>
      </c>
      <c r="E77">
        <v>0</v>
      </c>
      <c r="F77" s="1">
        <v>46142</v>
      </c>
      <c r="G77" s="1">
        <v>46605</v>
      </c>
      <c r="H77" s="1">
        <v>45510</v>
      </c>
      <c r="I77">
        <v>1095</v>
      </c>
      <c r="J77">
        <v>2</v>
      </c>
      <c r="K77" s="11">
        <v>46</v>
      </c>
      <c r="L77">
        <v>2</v>
      </c>
      <c r="M77">
        <v>2</v>
      </c>
      <c r="N77" t="s">
        <v>92</v>
      </c>
      <c r="O77" t="s">
        <v>93</v>
      </c>
      <c r="P77">
        <v>999</v>
      </c>
      <c r="Q77" s="1" t="s">
        <v>94</v>
      </c>
      <c r="R77" s="12">
        <v>45510</v>
      </c>
      <c r="S77" s="12">
        <v>2000000</v>
      </c>
      <c r="T77" s="12">
        <v>-1136349.6000000001</v>
      </c>
      <c r="U77" s="12">
        <v>-822.79</v>
      </c>
      <c r="V77" s="12">
        <v>-1136349.6000000001</v>
      </c>
      <c r="W77" s="12">
        <v>-26462.94</v>
      </c>
      <c r="X77" s="12">
        <v>11628.13</v>
      </c>
      <c r="Y77" t="str">
        <f t="shared" si="28"/>
        <v>Sit.Normal</v>
      </c>
      <c r="Z77">
        <f t="shared" si="19"/>
        <v>1</v>
      </c>
      <c r="AB77">
        <f>VLOOKUP(A77,rubros_a_considerar!$A$2:$A$13,1,FALSE)</f>
        <v>171112001</v>
      </c>
      <c r="AC77" s="2">
        <f t="shared" si="20"/>
        <v>-1162812.54</v>
      </c>
      <c r="AD77" s="4">
        <f>IF(Z77&lt;=1,Diccionario!$M$2,Diccionario!$M$3)</f>
        <v>1.4999999999999999E-2</v>
      </c>
      <c r="AE77" s="93">
        <f t="shared" si="21"/>
        <v>4.1406369609475746E-5</v>
      </c>
      <c r="AF77">
        <f t="shared" si="22"/>
        <v>463</v>
      </c>
      <c r="AG77" s="5">
        <f t="shared" si="23"/>
        <v>463</v>
      </c>
      <c r="AH77">
        <f t="shared" si="24"/>
        <v>365</v>
      </c>
      <c r="AI77">
        <f t="shared" si="25"/>
        <v>230.7603058430839</v>
      </c>
      <c r="AJ77" s="4">
        <f t="shared" si="26"/>
        <v>1.4999999999999999E-2</v>
      </c>
      <c r="AK77">
        <f>IF(Z77&lt;=3,Diccionario!$O$2,IF(Z77=4,Diccionario!$O$5,Diccionario!$O$6))</f>
        <v>0.66499985814979368</v>
      </c>
      <c r="AL77">
        <f t="shared" si="27"/>
        <v>1</v>
      </c>
      <c r="AM77" s="3">
        <f t="shared" si="29"/>
        <v>1162812.54</v>
      </c>
      <c r="AN77" s="95">
        <f>MIN(AJ77*AK77*AM77*(1+'[2]Pesos escenarios'!$F$8/2),AM77)</f>
        <v>15459.457602709837</v>
      </c>
      <c r="AO77" t="str">
        <f>IFERROR(VLOOKUP(A77,Diccionario!$C$2:$E$65,3,FALSE),"no")</f>
        <v>Prestamos Personales</v>
      </c>
    </row>
    <row r="78" spans="1:41" x14ac:dyDescent="0.35">
      <c r="A78">
        <v>171112001</v>
      </c>
      <c r="B78">
        <v>80</v>
      </c>
      <c r="C78">
        <v>19542</v>
      </c>
      <c r="D78">
        <v>42968</v>
      </c>
      <c r="E78">
        <v>0</v>
      </c>
      <c r="F78" s="1">
        <v>46142</v>
      </c>
      <c r="G78" s="1">
        <v>46842</v>
      </c>
      <c r="H78" s="1">
        <v>46101</v>
      </c>
      <c r="I78">
        <v>730</v>
      </c>
      <c r="J78">
        <v>2</v>
      </c>
      <c r="K78" s="11">
        <v>46</v>
      </c>
      <c r="L78">
        <v>1</v>
      </c>
      <c r="M78">
        <v>2</v>
      </c>
      <c r="N78" t="s">
        <v>92</v>
      </c>
      <c r="O78" t="s">
        <v>93</v>
      </c>
      <c r="P78">
        <v>999</v>
      </c>
      <c r="Q78" s="1" t="s">
        <v>94</v>
      </c>
      <c r="R78" s="12">
        <v>46101</v>
      </c>
      <c r="S78" s="12">
        <v>1500000</v>
      </c>
      <c r="T78" s="12">
        <v>-1485192.6</v>
      </c>
      <c r="U78" s="12">
        <v>-1075.3699999999999</v>
      </c>
      <c r="V78" s="12">
        <v>-1485192.6</v>
      </c>
      <c r="W78" s="12">
        <v>-2237.96</v>
      </c>
      <c r="X78" s="12">
        <v>14874.31</v>
      </c>
      <c r="Y78" t="str">
        <f t="shared" si="28"/>
        <v>Sit.Normal</v>
      </c>
      <c r="Z78">
        <f t="shared" si="19"/>
        <v>1</v>
      </c>
      <c r="AB78">
        <f>VLOOKUP(A78,rubros_a_considerar!$A$2:$A$13,1,FALSE)</f>
        <v>171112001</v>
      </c>
      <c r="AC78" s="2">
        <f t="shared" si="20"/>
        <v>-1487430.56</v>
      </c>
      <c r="AD78" s="4">
        <f>IF(Z78&lt;=1,Diccionario!$M$2,Diccionario!$M$3)</f>
        <v>1.4999999999999999E-2</v>
      </c>
      <c r="AE78" s="93">
        <f t="shared" si="21"/>
        <v>4.1406369609475746E-5</v>
      </c>
      <c r="AF78">
        <f t="shared" si="22"/>
        <v>700</v>
      </c>
      <c r="AG78" s="5">
        <f t="shared" si="23"/>
        <v>700</v>
      </c>
      <c r="AH78">
        <f t="shared" si="24"/>
        <v>365</v>
      </c>
      <c r="AI78">
        <f t="shared" si="25"/>
        <v>348.30923199530821</v>
      </c>
      <c r="AJ78" s="4">
        <f t="shared" si="26"/>
        <v>1.4999999999999999E-2</v>
      </c>
      <c r="AK78">
        <f>IF(Z78&lt;=3,Diccionario!$O$2,IF(Z78=4,Diccionario!$O$5,Diccionario!$O$6))</f>
        <v>0.66499985814979368</v>
      </c>
      <c r="AL78">
        <f t="shared" si="27"/>
        <v>1</v>
      </c>
      <c r="AM78" s="3">
        <f t="shared" si="29"/>
        <v>1487430.56</v>
      </c>
      <c r="AN78" s="95">
        <f>MIN(AJ78*AK78*AM78*(1+'[2]Pesos escenarios'!$F$8/2),AM78)</f>
        <v>19775.216458617611</v>
      </c>
      <c r="AO78" t="str">
        <f>IFERROR(VLOOKUP(A78,Diccionario!$C$2:$E$65,3,FALSE),"no")</f>
        <v>Prestamos Personales</v>
      </c>
    </row>
    <row r="79" spans="1:41" x14ac:dyDescent="0.35">
      <c r="A79">
        <v>171112001</v>
      </c>
      <c r="B79">
        <v>80</v>
      </c>
      <c r="C79">
        <v>3833</v>
      </c>
      <c r="D79">
        <v>42898</v>
      </c>
      <c r="E79">
        <v>0</v>
      </c>
      <c r="F79" s="1">
        <v>46142</v>
      </c>
      <c r="G79" s="1">
        <v>46321</v>
      </c>
      <c r="H79" s="1">
        <v>45954</v>
      </c>
      <c r="I79">
        <v>367</v>
      </c>
      <c r="J79">
        <v>2</v>
      </c>
      <c r="K79" s="11">
        <v>46</v>
      </c>
      <c r="L79">
        <v>2</v>
      </c>
      <c r="M79">
        <v>2</v>
      </c>
      <c r="N79" t="s">
        <v>92</v>
      </c>
      <c r="O79" t="s">
        <v>93</v>
      </c>
      <c r="P79">
        <v>999</v>
      </c>
      <c r="Q79" s="1" t="s">
        <v>94</v>
      </c>
      <c r="R79" s="12">
        <v>45954</v>
      </c>
      <c r="S79" s="12">
        <v>3500000</v>
      </c>
      <c r="T79" s="12">
        <v>-1983381.91</v>
      </c>
      <c r="U79" s="12">
        <v>-1436.09</v>
      </c>
      <c r="V79" s="12">
        <v>-1983381.91</v>
      </c>
      <c r="W79" s="12">
        <v>-20920.599999999999</v>
      </c>
      <c r="X79" s="12">
        <v>20043.03</v>
      </c>
      <c r="Y79" t="str">
        <f t="shared" si="28"/>
        <v>Sit.Normal</v>
      </c>
      <c r="Z79">
        <f t="shared" si="19"/>
        <v>1</v>
      </c>
      <c r="AB79">
        <f>VLOOKUP(A79,rubros_a_considerar!$A$2:$A$13,1,FALSE)</f>
        <v>171112001</v>
      </c>
      <c r="AC79" s="2">
        <f t="shared" si="20"/>
        <v>-2004302.51</v>
      </c>
      <c r="AD79" s="4">
        <f>IF(Z79&lt;=1,Diccionario!$M$2,Diccionario!$M$3)</f>
        <v>1.4999999999999999E-2</v>
      </c>
      <c r="AE79" s="93">
        <f t="shared" si="21"/>
        <v>4.1406369609475746E-5</v>
      </c>
      <c r="AF79">
        <f t="shared" si="22"/>
        <v>179</v>
      </c>
      <c r="AG79" s="5">
        <f t="shared" si="23"/>
        <v>179</v>
      </c>
      <c r="AH79">
        <f t="shared" si="24"/>
        <v>179</v>
      </c>
      <c r="AI79">
        <f t="shared" si="25"/>
        <v>89.389442901206337</v>
      </c>
      <c r="AJ79" s="4">
        <f t="shared" si="26"/>
        <v>1.4999999999999999E-2</v>
      </c>
      <c r="AK79">
        <f>IF(Z79&lt;=3,Diccionario!$O$2,IF(Z79=4,Diccionario!$O$5,Diccionario!$O$6))</f>
        <v>0.66499985814979368</v>
      </c>
      <c r="AL79">
        <f t="shared" si="27"/>
        <v>1</v>
      </c>
      <c r="AM79" s="3">
        <f t="shared" si="29"/>
        <v>2004302.51</v>
      </c>
      <c r="AN79" s="95">
        <f>MIN(AJ79*AK79*AM79*(1+'[2]Pesos escenarios'!$F$8/2),AM79)</f>
        <v>26646.968974336916</v>
      </c>
      <c r="AO79" t="str">
        <f>IFERROR(VLOOKUP(A79,Diccionario!$C$2:$E$65,3,FALSE),"no")</f>
        <v>Prestamos Personales</v>
      </c>
    </row>
    <row r="80" spans="1:41" x14ac:dyDescent="0.35">
      <c r="A80">
        <v>171112001</v>
      </c>
      <c r="B80">
        <v>80</v>
      </c>
      <c r="C80">
        <v>19542</v>
      </c>
      <c r="D80">
        <v>42901</v>
      </c>
      <c r="E80">
        <v>0</v>
      </c>
      <c r="F80" s="1">
        <v>46142</v>
      </c>
      <c r="G80" s="1">
        <v>47053</v>
      </c>
      <c r="H80" s="1">
        <v>45957</v>
      </c>
      <c r="I80">
        <v>1096</v>
      </c>
      <c r="J80">
        <v>2</v>
      </c>
      <c r="K80" s="11">
        <v>46</v>
      </c>
      <c r="L80">
        <v>2</v>
      </c>
      <c r="M80">
        <v>2</v>
      </c>
      <c r="N80" t="s">
        <v>92</v>
      </c>
      <c r="O80" t="s">
        <v>93</v>
      </c>
      <c r="P80">
        <v>999</v>
      </c>
      <c r="Q80" s="1" t="s">
        <v>94</v>
      </c>
      <c r="R80" s="12">
        <v>45957</v>
      </c>
      <c r="S80" s="12">
        <v>2750000</v>
      </c>
      <c r="T80" s="12">
        <v>-2537115.38</v>
      </c>
      <c r="U80" s="12">
        <v>-1837.03</v>
      </c>
      <c r="V80" s="12">
        <v>-2537115.38</v>
      </c>
      <c r="W80" s="12">
        <v>-15292.2</v>
      </c>
      <c r="X80" s="12">
        <v>25524.080000000002</v>
      </c>
      <c r="Y80" t="str">
        <f t="shared" si="28"/>
        <v>Sit.Normal</v>
      </c>
      <c r="Z80">
        <f t="shared" si="19"/>
        <v>1</v>
      </c>
      <c r="AB80">
        <f>VLOOKUP(A80,rubros_a_considerar!$A$2:$A$13,1,FALSE)</f>
        <v>171112001</v>
      </c>
      <c r="AC80" s="2">
        <f t="shared" si="20"/>
        <v>-2552407.58</v>
      </c>
      <c r="AD80" s="4">
        <f>IF(Z80&lt;=1,Diccionario!$M$2,Diccionario!$M$3)</f>
        <v>1.4999999999999999E-2</v>
      </c>
      <c r="AE80" s="93">
        <f t="shared" si="21"/>
        <v>4.1406369609475746E-5</v>
      </c>
      <c r="AF80">
        <f t="shared" si="22"/>
        <v>911</v>
      </c>
      <c r="AG80" s="5">
        <f t="shared" si="23"/>
        <v>911</v>
      </c>
      <c r="AH80">
        <f t="shared" si="24"/>
        <v>365</v>
      </c>
      <c r="AI80">
        <f t="shared" si="25"/>
        <v>452.63634412265225</v>
      </c>
      <c r="AJ80" s="4">
        <f t="shared" si="26"/>
        <v>1.4999999999999999E-2</v>
      </c>
      <c r="AK80">
        <f>IF(Z80&lt;=3,Diccionario!$O$2,IF(Z80=4,Diccionario!$O$5,Diccionario!$O$6))</f>
        <v>0.66499985814979368</v>
      </c>
      <c r="AL80">
        <f t="shared" si="27"/>
        <v>1</v>
      </c>
      <c r="AM80" s="3">
        <f t="shared" si="29"/>
        <v>2552407.58</v>
      </c>
      <c r="AN80" s="95">
        <f>MIN(AJ80*AK80*AM80*(1+'[2]Pesos escenarios'!$F$8/2),AM80)</f>
        <v>33933.962191227496</v>
      </c>
      <c r="AO80" t="str">
        <f>IFERROR(VLOOKUP(A80,Diccionario!$C$2:$E$65,3,FALSE),"no")</f>
        <v>Prestamos Personales</v>
      </c>
    </row>
    <row r="81" spans="1:41" x14ac:dyDescent="0.35">
      <c r="A81">
        <v>171112001</v>
      </c>
      <c r="B81">
        <v>80</v>
      </c>
      <c r="C81">
        <v>84446</v>
      </c>
      <c r="D81">
        <v>42936</v>
      </c>
      <c r="E81">
        <v>0</v>
      </c>
      <c r="F81" s="1">
        <v>46142</v>
      </c>
      <c r="G81" s="1">
        <v>46414</v>
      </c>
      <c r="H81" s="1">
        <v>46036</v>
      </c>
      <c r="I81">
        <v>378</v>
      </c>
      <c r="J81">
        <v>2</v>
      </c>
      <c r="K81" s="11">
        <v>46</v>
      </c>
      <c r="L81">
        <v>2</v>
      </c>
      <c r="M81">
        <v>2</v>
      </c>
      <c r="N81" t="s">
        <v>92</v>
      </c>
      <c r="O81" t="s">
        <v>93</v>
      </c>
      <c r="P81">
        <v>999</v>
      </c>
      <c r="Q81" s="1" t="s">
        <v>94</v>
      </c>
      <c r="R81" s="12">
        <v>46036</v>
      </c>
      <c r="S81" s="12">
        <v>4000000</v>
      </c>
      <c r="T81" s="12">
        <v>-3245052.72</v>
      </c>
      <c r="U81" s="12">
        <v>-2349.62</v>
      </c>
      <c r="V81" s="12">
        <v>-3245052.72</v>
      </c>
      <c r="W81" s="12">
        <v>-19559.22</v>
      </c>
      <c r="X81" s="12">
        <v>32646.12</v>
      </c>
      <c r="Y81" t="str">
        <f t="shared" si="28"/>
        <v>Sit.Normal</v>
      </c>
      <c r="Z81">
        <f t="shared" si="19"/>
        <v>1</v>
      </c>
      <c r="AB81">
        <f>VLOOKUP(A81,rubros_a_considerar!$A$2:$A$13,1,FALSE)</f>
        <v>171112001</v>
      </c>
      <c r="AC81" s="2">
        <f t="shared" si="20"/>
        <v>-3264611.9400000004</v>
      </c>
      <c r="AD81" s="4">
        <f>IF(Z81&lt;=1,Diccionario!$M$2,Diccionario!$M$3)</f>
        <v>1.4999999999999999E-2</v>
      </c>
      <c r="AE81" s="93">
        <f t="shared" si="21"/>
        <v>4.1406369609475746E-5</v>
      </c>
      <c r="AF81">
        <f t="shared" si="22"/>
        <v>272</v>
      </c>
      <c r="AG81" s="5">
        <f t="shared" si="23"/>
        <v>272</v>
      </c>
      <c r="AH81">
        <f t="shared" si="24"/>
        <v>272</v>
      </c>
      <c r="AI81">
        <f t="shared" si="25"/>
        <v>135.74471459333142</v>
      </c>
      <c r="AJ81" s="4">
        <f t="shared" si="26"/>
        <v>1.4999999999999999E-2</v>
      </c>
      <c r="AK81">
        <f>IF(Z81&lt;=3,Diccionario!$O$2,IF(Z81=4,Diccionario!$O$5,Diccionario!$O$6))</f>
        <v>0.66499985814979368</v>
      </c>
      <c r="AL81">
        <f t="shared" si="27"/>
        <v>1</v>
      </c>
      <c r="AM81" s="3">
        <f t="shared" si="29"/>
        <v>3264611.9400000004</v>
      </c>
      <c r="AN81" s="95">
        <f>MIN(AJ81*AK81*AM81*(1+'[2]Pesos escenarios'!$F$8/2),AM81)</f>
        <v>43402.636400644864</v>
      </c>
      <c r="AO81" t="str">
        <f>IFERROR(VLOOKUP(A81,Diccionario!$C$2:$E$65,3,FALSE),"no")</f>
        <v>Prestamos Personales</v>
      </c>
    </row>
    <row r="82" spans="1:41" x14ac:dyDescent="0.35">
      <c r="A82">
        <v>131731003</v>
      </c>
      <c r="B82">
        <v>80</v>
      </c>
      <c r="C82">
        <v>87039</v>
      </c>
      <c r="D82">
        <v>42868</v>
      </c>
      <c r="E82">
        <v>0</v>
      </c>
      <c r="F82" s="1">
        <v>46142</v>
      </c>
      <c r="G82" s="1">
        <v>46629</v>
      </c>
      <c r="H82" s="1">
        <v>45897</v>
      </c>
      <c r="I82">
        <v>732</v>
      </c>
      <c r="J82">
        <v>2</v>
      </c>
      <c r="K82" s="11">
        <v>52</v>
      </c>
      <c r="L82">
        <v>2</v>
      </c>
      <c r="M82">
        <v>2</v>
      </c>
      <c r="N82" t="s">
        <v>92</v>
      </c>
      <c r="O82" t="s">
        <v>93</v>
      </c>
      <c r="P82">
        <v>999</v>
      </c>
      <c r="Q82" s="1" t="s">
        <v>94</v>
      </c>
      <c r="R82" s="12">
        <v>45897</v>
      </c>
      <c r="S82" s="12">
        <v>5000000</v>
      </c>
      <c r="T82" s="12">
        <v>-3857159.44</v>
      </c>
      <c r="U82" s="12">
        <v>-2792.83</v>
      </c>
      <c r="V82" s="12">
        <v>-3857159.44</v>
      </c>
      <c r="W82" s="12">
        <v>-16485.400000000001</v>
      </c>
      <c r="X82" s="12">
        <v>38736.449999999997</v>
      </c>
      <c r="Y82" t="str">
        <f t="shared" si="28"/>
        <v>Sit.Normal</v>
      </c>
      <c r="Z82">
        <f t="shared" si="19"/>
        <v>1</v>
      </c>
      <c r="AB82">
        <f>VLOOKUP(A82,rubros_a_considerar!$A$2:$A$13,1,FALSE)</f>
        <v>131731003</v>
      </c>
      <c r="AC82" s="2">
        <f t="shared" si="20"/>
        <v>-3873644.84</v>
      </c>
      <c r="AD82" s="4">
        <f>IF(Z82&lt;=1,Diccionario!$M$2,Diccionario!$M$3)</f>
        <v>1.4999999999999999E-2</v>
      </c>
      <c r="AE82" s="93">
        <f t="shared" si="21"/>
        <v>4.1406369609475746E-5</v>
      </c>
      <c r="AF82">
        <f t="shared" si="22"/>
        <v>487</v>
      </c>
      <c r="AG82" s="5">
        <f t="shared" si="23"/>
        <v>487</v>
      </c>
      <c r="AH82">
        <f t="shared" si="24"/>
        <v>365</v>
      </c>
      <c r="AI82">
        <f t="shared" si="25"/>
        <v>242.68163305704425</v>
      </c>
      <c r="AJ82" s="4">
        <f t="shared" si="26"/>
        <v>1.4999999999999999E-2</v>
      </c>
      <c r="AK82">
        <f>IF(Z82&lt;=3,Diccionario!$O$2,IF(Z82=4,Diccionario!$O$5,Diccionario!$O$6))</f>
        <v>0.66499985814979368</v>
      </c>
      <c r="AL82">
        <f t="shared" si="27"/>
        <v>1</v>
      </c>
      <c r="AM82" s="3">
        <f t="shared" si="29"/>
        <v>3873644.84</v>
      </c>
      <c r="AN82" s="95">
        <f>MIN(AJ82*AK82*AM82*(1+'[2]Pesos escenarios'!$F$8/2),AM82)</f>
        <v>51499.658037688278</v>
      </c>
      <c r="AO82" t="str">
        <f>IFERROR(VLOOKUP(A82,Diccionario!$C$2:$E$65,3,FALSE),"no")</f>
        <v>Prestamos Personales</v>
      </c>
    </row>
    <row r="83" spans="1:41" x14ac:dyDescent="0.35">
      <c r="A83">
        <v>171112001</v>
      </c>
      <c r="B83">
        <v>80</v>
      </c>
      <c r="C83">
        <v>58440</v>
      </c>
      <c r="D83">
        <v>42747</v>
      </c>
      <c r="E83">
        <v>0</v>
      </c>
      <c r="F83" s="1">
        <v>46142</v>
      </c>
      <c r="G83" s="1">
        <v>47140</v>
      </c>
      <c r="H83" s="1">
        <v>45677</v>
      </c>
      <c r="I83">
        <v>1463</v>
      </c>
      <c r="J83">
        <v>2</v>
      </c>
      <c r="K83" s="11">
        <v>34</v>
      </c>
      <c r="L83">
        <v>2</v>
      </c>
      <c r="M83">
        <v>2</v>
      </c>
      <c r="N83" t="s">
        <v>92</v>
      </c>
      <c r="O83" t="s">
        <v>93</v>
      </c>
      <c r="P83">
        <v>999</v>
      </c>
      <c r="Q83" s="1" t="s">
        <v>94</v>
      </c>
      <c r="R83" s="12">
        <v>45677</v>
      </c>
      <c r="S83" s="12">
        <v>5000000</v>
      </c>
      <c r="T83" s="12">
        <v>-4072781.68</v>
      </c>
      <c r="U83" s="12">
        <v>-2948.95</v>
      </c>
      <c r="V83" s="12">
        <v>-4072781.68</v>
      </c>
      <c r="W83" s="12">
        <v>-41732.06</v>
      </c>
      <c r="X83" s="12">
        <v>41145.14</v>
      </c>
      <c r="Y83" t="str">
        <f t="shared" si="28"/>
        <v>Sit.Normal</v>
      </c>
      <c r="Z83">
        <f t="shared" si="19"/>
        <v>1</v>
      </c>
      <c r="AB83">
        <f>VLOOKUP(A83,rubros_a_considerar!$A$2:$A$13,1,FALSE)</f>
        <v>171112001</v>
      </c>
      <c r="AC83" s="2">
        <f t="shared" si="20"/>
        <v>-4114513.74</v>
      </c>
      <c r="AD83" s="4">
        <f>IF(Z83&lt;=1,Diccionario!$M$2,Diccionario!$M$3)</f>
        <v>1.4999999999999999E-2</v>
      </c>
      <c r="AE83" s="93">
        <f t="shared" si="21"/>
        <v>4.1406369609475746E-5</v>
      </c>
      <c r="AF83">
        <f t="shared" si="22"/>
        <v>998</v>
      </c>
      <c r="AG83" s="5">
        <f t="shared" si="23"/>
        <v>998</v>
      </c>
      <c r="AH83">
        <f t="shared" si="24"/>
        <v>365</v>
      </c>
      <c r="AI83">
        <f t="shared" si="25"/>
        <v>495.56328766345905</v>
      </c>
      <c r="AJ83" s="4">
        <f t="shared" si="26"/>
        <v>1.4999999999999999E-2</v>
      </c>
      <c r="AK83">
        <f>IF(Z83&lt;=3,Diccionario!$O$2,IF(Z83=4,Diccionario!$O$5,Diccionario!$O$6))</f>
        <v>0.66499985814979368</v>
      </c>
      <c r="AL83">
        <f t="shared" si="27"/>
        <v>1</v>
      </c>
      <c r="AM83" s="3">
        <f t="shared" si="29"/>
        <v>4114513.74</v>
      </c>
      <c r="AN83" s="95">
        <f>MIN(AJ83*AK83*AM83*(1+'[2]Pesos escenarios'!$F$8/2),AM83)</f>
        <v>54701.982074683408</v>
      </c>
      <c r="AO83" t="str">
        <f>IFERROR(VLOOKUP(A83,Diccionario!$C$2:$E$65,3,FALSE),"no")</f>
        <v>Prestamos Personales</v>
      </c>
    </row>
    <row r="84" spans="1:41" x14ac:dyDescent="0.35">
      <c r="A84">
        <v>171112001</v>
      </c>
      <c r="B84">
        <v>80</v>
      </c>
      <c r="C84">
        <v>58440</v>
      </c>
      <c r="D84">
        <v>42848</v>
      </c>
      <c r="E84">
        <v>0</v>
      </c>
      <c r="F84" s="1">
        <v>46142</v>
      </c>
      <c r="G84" s="1">
        <v>47336</v>
      </c>
      <c r="H84" s="1">
        <v>45873</v>
      </c>
      <c r="I84">
        <v>1463</v>
      </c>
      <c r="J84">
        <v>2</v>
      </c>
      <c r="K84" s="11">
        <v>34</v>
      </c>
      <c r="L84">
        <v>2</v>
      </c>
      <c r="M84">
        <v>2</v>
      </c>
      <c r="N84" t="s">
        <v>92</v>
      </c>
      <c r="O84" t="s">
        <v>93</v>
      </c>
      <c r="P84">
        <v>999</v>
      </c>
      <c r="Q84" s="1" t="s">
        <v>94</v>
      </c>
      <c r="R84" s="12">
        <v>45873</v>
      </c>
      <c r="S84" s="12">
        <v>5200000</v>
      </c>
      <c r="T84" s="12">
        <v>-4746031.45</v>
      </c>
      <c r="U84" s="12">
        <v>-3436.43</v>
      </c>
      <c r="V84" s="12">
        <v>-4746031.45</v>
      </c>
      <c r="W84" s="12">
        <v>-110524.02</v>
      </c>
      <c r="X84" s="12">
        <v>48565.55</v>
      </c>
      <c r="Y84" t="str">
        <f t="shared" si="28"/>
        <v>Sit.Normal</v>
      </c>
      <c r="Z84">
        <f t="shared" si="19"/>
        <v>1</v>
      </c>
      <c r="AB84">
        <f>VLOOKUP(A84,rubros_a_considerar!$A$2:$A$13,1,FALSE)</f>
        <v>171112001</v>
      </c>
      <c r="AC84" s="2">
        <f t="shared" si="20"/>
        <v>-4856555.47</v>
      </c>
      <c r="AD84" s="4">
        <f>IF(Z84&lt;=1,Diccionario!$M$2,Diccionario!$M$3)</f>
        <v>1.4999999999999999E-2</v>
      </c>
      <c r="AE84" s="93">
        <f t="shared" si="21"/>
        <v>4.1406369609475746E-5</v>
      </c>
      <c r="AF84">
        <f t="shared" si="22"/>
        <v>1194</v>
      </c>
      <c r="AG84" s="5">
        <f t="shared" si="23"/>
        <v>1194</v>
      </c>
      <c r="AH84">
        <f t="shared" si="24"/>
        <v>365</v>
      </c>
      <c r="AI84">
        <f t="shared" si="25"/>
        <v>592.08090102812116</v>
      </c>
      <c r="AJ84" s="4">
        <f t="shared" si="26"/>
        <v>1.4999999999999999E-2</v>
      </c>
      <c r="AK84">
        <f>IF(Z84&lt;=3,Diccionario!$O$2,IF(Z84=4,Diccionario!$O$5,Diccionario!$O$6))</f>
        <v>0.66499985814979368</v>
      </c>
      <c r="AL84">
        <f t="shared" si="27"/>
        <v>1</v>
      </c>
      <c r="AM84" s="3">
        <f t="shared" si="29"/>
        <v>4856555.47</v>
      </c>
      <c r="AN84" s="95">
        <f>MIN(AJ84*AK84*AM84*(1+'[2]Pesos escenarios'!$F$8/2),AM84)</f>
        <v>64567.340651205508</v>
      </c>
      <c r="AO84" t="str">
        <f>IFERROR(VLOOKUP(A84,Diccionario!$C$2:$E$65,3,FALSE),"no")</f>
        <v>Prestamos Personales</v>
      </c>
    </row>
    <row r="85" spans="1:41" x14ac:dyDescent="0.35">
      <c r="A85">
        <v>171112001</v>
      </c>
      <c r="B85">
        <v>80</v>
      </c>
      <c r="C85">
        <v>13377</v>
      </c>
      <c r="D85">
        <v>42672</v>
      </c>
      <c r="E85">
        <v>0</v>
      </c>
      <c r="F85" s="1">
        <v>46142</v>
      </c>
      <c r="G85" s="1">
        <v>46591</v>
      </c>
      <c r="H85" s="1">
        <v>45496</v>
      </c>
      <c r="I85">
        <v>1095</v>
      </c>
      <c r="J85">
        <v>2</v>
      </c>
      <c r="K85" s="11">
        <v>46</v>
      </c>
      <c r="L85">
        <v>2</v>
      </c>
      <c r="M85">
        <v>2</v>
      </c>
      <c r="N85" t="s">
        <v>92</v>
      </c>
      <c r="O85" t="s">
        <v>93</v>
      </c>
      <c r="P85">
        <v>999</v>
      </c>
      <c r="Q85" s="1" t="s">
        <v>94</v>
      </c>
      <c r="R85" s="12">
        <v>45496</v>
      </c>
      <c r="S85" s="12">
        <v>10000000</v>
      </c>
      <c r="T85" s="12">
        <v>-5399443.5599999996</v>
      </c>
      <c r="U85" s="12">
        <v>-3909.54</v>
      </c>
      <c r="V85" s="12">
        <v>-5399443.5599999996</v>
      </c>
      <c r="W85" s="12">
        <v>-40236.949999999997</v>
      </c>
      <c r="X85" s="12">
        <v>54396.81</v>
      </c>
      <c r="Y85" t="str">
        <f t="shared" si="28"/>
        <v>Sit.Normal</v>
      </c>
      <c r="Z85">
        <f t="shared" si="19"/>
        <v>1</v>
      </c>
      <c r="AB85">
        <f>VLOOKUP(A85,rubros_a_considerar!$A$2:$A$13,1,FALSE)</f>
        <v>171112001</v>
      </c>
      <c r="AC85" s="2">
        <f t="shared" si="20"/>
        <v>-5439680.5099999998</v>
      </c>
      <c r="AD85" s="4">
        <f>IF(Z85&lt;=1,Diccionario!$M$2,Diccionario!$M$3)</f>
        <v>1.4999999999999999E-2</v>
      </c>
      <c r="AE85" s="93">
        <f t="shared" si="21"/>
        <v>4.1406369609475746E-5</v>
      </c>
      <c r="AF85">
        <f t="shared" si="22"/>
        <v>449</v>
      </c>
      <c r="AG85" s="5">
        <f t="shared" si="23"/>
        <v>449</v>
      </c>
      <c r="AH85">
        <f t="shared" si="24"/>
        <v>365</v>
      </c>
      <c r="AI85">
        <f t="shared" si="25"/>
        <v>223.80436250843661</v>
      </c>
      <c r="AJ85" s="4">
        <f t="shared" si="26"/>
        <v>1.4999999999999999E-2</v>
      </c>
      <c r="AK85">
        <f>IF(Z85&lt;=3,Diccionario!$O$2,IF(Z85=4,Diccionario!$O$5,Diccionario!$O$6))</f>
        <v>0.66499985814979368</v>
      </c>
      <c r="AL85">
        <f t="shared" si="27"/>
        <v>1</v>
      </c>
      <c r="AM85" s="3">
        <f t="shared" si="29"/>
        <v>5439680.5099999998</v>
      </c>
      <c r="AN85" s="95">
        <f>MIN(AJ85*AK85*AM85*(1+'[2]Pesos escenarios'!$F$8/2),AM85)</f>
        <v>72319.920299992649</v>
      </c>
      <c r="AO85" t="str">
        <f>IFERROR(VLOOKUP(A85,Diccionario!$C$2:$E$65,3,FALSE),"no")</f>
        <v>Prestamos Personales</v>
      </c>
    </row>
    <row r="86" spans="1:41" x14ac:dyDescent="0.35">
      <c r="A86">
        <v>171112001</v>
      </c>
      <c r="B86">
        <v>80</v>
      </c>
      <c r="C86">
        <v>19542</v>
      </c>
      <c r="D86">
        <v>42680</v>
      </c>
      <c r="E86">
        <v>0</v>
      </c>
      <c r="F86" s="1">
        <v>46142</v>
      </c>
      <c r="G86" s="1">
        <v>46611</v>
      </c>
      <c r="H86" s="1">
        <v>45516</v>
      </c>
      <c r="I86">
        <v>1095</v>
      </c>
      <c r="J86">
        <v>2</v>
      </c>
      <c r="K86" s="11">
        <v>46</v>
      </c>
      <c r="L86">
        <v>2</v>
      </c>
      <c r="M86">
        <v>2</v>
      </c>
      <c r="N86" t="s">
        <v>92</v>
      </c>
      <c r="O86" t="s">
        <v>93</v>
      </c>
      <c r="P86">
        <v>999</v>
      </c>
      <c r="Q86" s="1" t="s">
        <v>94</v>
      </c>
      <c r="R86" s="12">
        <v>45516</v>
      </c>
      <c r="S86" s="12">
        <v>10000000</v>
      </c>
      <c r="T86" s="12">
        <v>-5687761.9299999997</v>
      </c>
      <c r="U86" s="12">
        <v>-4118.3</v>
      </c>
      <c r="V86" s="12">
        <v>-5687761.9299999997</v>
      </c>
      <c r="W86" s="12">
        <v>-95367.4</v>
      </c>
      <c r="X86" s="12">
        <v>57831.29</v>
      </c>
      <c r="Y86" t="str">
        <f t="shared" si="28"/>
        <v>Sit.Normal</v>
      </c>
      <c r="Z86">
        <f t="shared" si="19"/>
        <v>1</v>
      </c>
      <c r="AB86">
        <f>VLOOKUP(A86,rubros_a_considerar!$A$2:$A$13,1,FALSE)</f>
        <v>171112001</v>
      </c>
      <c r="AC86" s="2">
        <f t="shared" si="20"/>
        <v>-5783129.3300000001</v>
      </c>
      <c r="AD86" s="4">
        <f>IF(Z86&lt;=1,Diccionario!$M$2,Diccionario!$M$3)</f>
        <v>1.4999999999999999E-2</v>
      </c>
      <c r="AE86" s="93">
        <f t="shared" si="21"/>
        <v>4.1406369609475746E-5</v>
      </c>
      <c r="AF86">
        <f t="shared" si="22"/>
        <v>469</v>
      </c>
      <c r="AG86" s="5">
        <f t="shared" si="23"/>
        <v>469</v>
      </c>
      <c r="AH86">
        <f t="shared" si="24"/>
        <v>365</v>
      </c>
      <c r="AI86">
        <f t="shared" si="25"/>
        <v>233.74101033257267</v>
      </c>
      <c r="AJ86" s="4">
        <f t="shared" si="26"/>
        <v>1.4999999999999999E-2</v>
      </c>
      <c r="AK86">
        <f>IF(Z86&lt;=3,Diccionario!$O$2,IF(Z86=4,Diccionario!$O$5,Diccionario!$O$6))</f>
        <v>0.66499985814979368</v>
      </c>
      <c r="AL86">
        <f t="shared" si="27"/>
        <v>1</v>
      </c>
      <c r="AM86" s="3">
        <f t="shared" si="29"/>
        <v>5783129.3300000001</v>
      </c>
      <c r="AN86" s="95">
        <f>MIN(AJ86*AK86*AM86*(1+'[2]Pesos escenarios'!$F$8/2),AM86)</f>
        <v>76886.032453797525</v>
      </c>
      <c r="AO86" t="str">
        <f>IFERROR(VLOOKUP(A86,Diccionario!$C$2:$E$65,3,FALSE),"no")</f>
        <v>Prestamos Personales</v>
      </c>
    </row>
    <row r="87" spans="1:41" x14ac:dyDescent="0.35">
      <c r="A87">
        <v>171112001</v>
      </c>
      <c r="B87">
        <v>80</v>
      </c>
      <c r="C87">
        <v>86329</v>
      </c>
      <c r="D87">
        <v>42719</v>
      </c>
      <c r="E87">
        <v>0</v>
      </c>
      <c r="F87" s="1">
        <v>46142</v>
      </c>
      <c r="G87" s="1">
        <v>47077</v>
      </c>
      <c r="H87" s="1">
        <v>45616</v>
      </c>
      <c r="I87">
        <v>1461</v>
      </c>
      <c r="J87">
        <v>2</v>
      </c>
      <c r="K87" s="11">
        <v>34</v>
      </c>
      <c r="L87">
        <v>2</v>
      </c>
      <c r="M87">
        <v>2</v>
      </c>
      <c r="N87" t="s">
        <v>92</v>
      </c>
      <c r="O87" t="s">
        <v>93</v>
      </c>
      <c r="P87">
        <v>999</v>
      </c>
      <c r="Q87" s="1" t="s">
        <v>94</v>
      </c>
      <c r="R87" s="12">
        <v>45616</v>
      </c>
      <c r="S87" s="12">
        <v>9000000</v>
      </c>
      <c r="T87" s="12">
        <v>-7054028.6799999997</v>
      </c>
      <c r="U87" s="12">
        <v>-5107.5600000000004</v>
      </c>
      <c r="V87" s="12">
        <v>-7054028.6799999997</v>
      </c>
      <c r="W87" s="12">
        <v>-72279.63</v>
      </c>
      <c r="X87" s="12">
        <v>71263.08</v>
      </c>
      <c r="Y87" t="str">
        <f t="shared" si="28"/>
        <v>Sit.Normal</v>
      </c>
      <c r="Z87">
        <f t="shared" si="19"/>
        <v>1</v>
      </c>
      <c r="AB87">
        <f>VLOOKUP(A87,rubros_a_considerar!$A$2:$A$13,1,FALSE)</f>
        <v>171112001</v>
      </c>
      <c r="AC87" s="2">
        <f t="shared" si="20"/>
        <v>-7126308.3099999996</v>
      </c>
      <c r="AD87" s="4">
        <f>IF(Z87&lt;=1,Diccionario!$M$2,Diccionario!$M$3)</f>
        <v>1.4999999999999999E-2</v>
      </c>
      <c r="AE87" s="93">
        <f t="shared" si="21"/>
        <v>4.1406369609475746E-5</v>
      </c>
      <c r="AF87">
        <f t="shared" si="22"/>
        <v>935</v>
      </c>
      <c r="AG87" s="5">
        <f t="shared" si="23"/>
        <v>935</v>
      </c>
      <c r="AH87">
        <f t="shared" si="24"/>
        <v>365</v>
      </c>
      <c r="AI87">
        <f t="shared" si="25"/>
        <v>464.48347604020779</v>
      </c>
      <c r="AJ87" s="4">
        <f t="shared" si="26"/>
        <v>1.4999999999999999E-2</v>
      </c>
      <c r="AK87">
        <f>IF(Z87&lt;=3,Diccionario!$O$2,IF(Z87=4,Diccionario!$O$5,Diccionario!$O$6))</f>
        <v>0.66499985814979368</v>
      </c>
      <c r="AL87">
        <f t="shared" si="27"/>
        <v>1</v>
      </c>
      <c r="AM87" s="3">
        <f t="shared" si="29"/>
        <v>7126308.3099999996</v>
      </c>
      <c r="AN87" s="95">
        <f>MIN(AJ87*AK87*AM87*(1+'[2]Pesos escenarios'!$F$8/2),AM87)</f>
        <v>94743.440918072461</v>
      </c>
      <c r="AO87" t="str">
        <f>IFERROR(VLOOKUP(A87,Diccionario!$C$2:$E$65,3,FALSE),"no")</f>
        <v>Prestamos Personales</v>
      </c>
    </row>
    <row r="88" spans="1:41" x14ac:dyDescent="0.35">
      <c r="A88">
        <v>171112001</v>
      </c>
      <c r="B88">
        <v>80</v>
      </c>
      <c r="C88">
        <v>54718</v>
      </c>
      <c r="D88">
        <v>42762</v>
      </c>
      <c r="E88">
        <v>0</v>
      </c>
      <c r="F88" s="1">
        <v>46142</v>
      </c>
      <c r="G88" s="1">
        <v>47149</v>
      </c>
      <c r="H88" s="1">
        <v>45688</v>
      </c>
      <c r="I88">
        <v>1461</v>
      </c>
      <c r="J88">
        <v>2</v>
      </c>
      <c r="K88" s="11">
        <v>34</v>
      </c>
      <c r="L88">
        <v>2</v>
      </c>
      <c r="M88">
        <v>2</v>
      </c>
      <c r="N88" t="s">
        <v>92</v>
      </c>
      <c r="O88" t="s">
        <v>93</v>
      </c>
      <c r="P88">
        <v>999</v>
      </c>
      <c r="Q88" s="1" t="s">
        <v>94</v>
      </c>
      <c r="R88" s="12">
        <v>45688</v>
      </c>
      <c r="S88" s="12">
        <v>9500000</v>
      </c>
      <c r="T88" s="12">
        <v>-7731292.3099999996</v>
      </c>
      <c r="U88" s="12">
        <v>-5597.94</v>
      </c>
      <c r="V88" s="12">
        <v>-7731292.3099999996</v>
      </c>
      <c r="W88" s="12">
        <v>-7201.75</v>
      </c>
      <c r="X88" s="12">
        <v>77384.94</v>
      </c>
      <c r="Y88" t="str">
        <f t="shared" si="28"/>
        <v>Sit.Normal</v>
      </c>
      <c r="Z88">
        <f t="shared" si="19"/>
        <v>1</v>
      </c>
      <c r="AB88">
        <f>VLOOKUP(A88,rubros_a_considerar!$A$2:$A$13,1,FALSE)</f>
        <v>171112001</v>
      </c>
      <c r="AC88" s="2">
        <f t="shared" si="20"/>
        <v>-7738494.0599999996</v>
      </c>
      <c r="AD88" s="4">
        <f>IF(Z88&lt;=1,Diccionario!$M$2,Diccionario!$M$3)</f>
        <v>1.4999999999999999E-2</v>
      </c>
      <c r="AE88" s="93">
        <f t="shared" si="21"/>
        <v>4.1406369609475746E-5</v>
      </c>
      <c r="AF88">
        <f t="shared" si="22"/>
        <v>1007</v>
      </c>
      <c r="AG88" s="5">
        <f t="shared" si="23"/>
        <v>1007</v>
      </c>
      <c r="AH88">
        <f t="shared" si="24"/>
        <v>365</v>
      </c>
      <c r="AI88">
        <f t="shared" si="25"/>
        <v>500.00102509733557</v>
      </c>
      <c r="AJ88" s="4">
        <f t="shared" si="26"/>
        <v>1.4999999999999999E-2</v>
      </c>
      <c r="AK88">
        <f>IF(Z88&lt;=3,Diccionario!$O$2,IF(Z88=4,Diccionario!$O$5,Diccionario!$O$6))</f>
        <v>0.66499985814979368</v>
      </c>
      <c r="AL88">
        <f t="shared" si="27"/>
        <v>1</v>
      </c>
      <c r="AM88" s="3">
        <f t="shared" si="29"/>
        <v>7738494.0599999996</v>
      </c>
      <c r="AN88" s="95">
        <f>MIN(AJ88*AK88*AM88*(1+'[2]Pesos escenarios'!$F$8/2),AM88)</f>
        <v>102882.37932951076</v>
      </c>
      <c r="AO88" t="str">
        <f>IFERROR(VLOOKUP(A88,Diccionario!$C$2:$E$65,3,FALSE),"no")</f>
        <v>Prestamos Personales</v>
      </c>
    </row>
    <row r="89" spans="1:41" x14ac:dyDescent="0.35">
      <c r="A89">
        <v>171112001</v>
      </c>
      <c r="B89">
        <v>80</v>
      </c>
      <c r="C89">
        <v>59128</v>
      </c>
      <c r="D89">
        <v>42771</v>
      </c>
      <c r="E89">
        <v>0</v>
      </c>
      <c r="F89" s="1">
        <v>46142</v>
      </c>
      <c r="G89" s="1">
        <v>47175</v>
      </c>
      <c r="H89" s="1">
        <v>45712</v>
      </c>
      <c r="I89">
        <v>1463</v>
      </c>
      <c r="J89">
        <v>2</v>
      </c>
      <c r="K89" s="11">
        <v>34</v>
      </c>
      <c r="L89">
        <v>2</v>
      </c>
      <c r="M89">
        <v>2</v>
      </c>
      <c r="N89" t="s">
        <v>92</v>
      </c>
      <c r="O89" t="s">
        <v>93</v>
      </c>
      <c r="P89">
        <v>999</v>
      </c>
      <c r="Q89" s="1" t="s">
        <v>94</v>
      </c>
      <c r="R89" s="12">
        <v>45712</v>
      </c>
      <c r="S89" s="12">
        <v>10000000</v>
      </c>
      <c r="T89" s="12">
        <v>-8311900.2699999996</v>
      </c>
      <c r="U89" s="12">
        <v>-6018.34</v>
      </c>
      <c r="V89" s="12">
        <v>-8311900.2699999996</v>
      </c>
      <c r="W89" s="12">
        <v>-30970.36</v>
      </c>
      <c r="X89" s="12">
        <v>83428.710000000006</v>
      </c>
      <c r="Y89" t="str">
        <f t="shared" si="28"/>
        <v>Sit.Normal</v>
      </c>
      <c r="Z89">
        <f t="shared" si="19"/>
        <v>1</v>
      </c>
      <c r="AB89">
        <f>VLOOKUP(A89,rubros_a_considerar!$A$2:$A$13,1,FALSE)</f>
        <v>171112001</v>
      </c>
      <c r="AC89" s="2">
        <f t="shared" si="20"/>
        <v>-8342870.6299999999</v>
      </c>
      <c r="AD89" s="4">
        <f>IF(Z89&lt;=1,Diccionario!$M$2,Diccionario!$M$3)</f>
        <v>1.4999999999999999E-2</v>
      </c>
      <c r="AE89" s="93">
        <f t="shared" si="21"/>
        <v>4.1406369609475746E-5</v>
      </c>
      <c r="AF89">
        <f t="shared" si="22"/>
        <v>1033</v>
      </c>
      <c r="AG89" s="5">
        <f t="shared" si="23"/>
        <v>1033</v>
      </c>
      <c r="AH89">
        <f t="shared" si="24"/>
        <v>365</v>
      </c>
      <c r="AI89">
        <f t="shared" si="25"/>
        <v>512.81801596624655</v>
      </c>
      <c r="AJ89" s="4">
        <f t="shared" si="26"/>
        <v>1.4999999999999999E-2</v>
      </c>
      <c r="AK89">
        <f>IF(Z89&lt;=3,Diccionario!$O$2,IF(Z89=4,Diccionario!$O$5,Diccionario!$O$6))</f>
        <v>0.66499985814979368</v>
      </c>
      <c r="AL89">
        <f t="shared" si="27"/>
        <v>1</v>
      </c>
      <c r="AM89" s="3">
        <f t="shared" si="29"/>
        <v>8342870.6299999999</v>
      </c>
      <c r="AN89" s="95">
        <f>MIN(AJ89*AK89*AM89*(1+'[2]Pesos escenarios'!$F$8/2),AM89)</f>
        <v>110917.49560026081</v>
      </c>
      <c r="AO89" t="str">
        <f>IFERROR(VLOOKUP(A89,Diccionario!$C$2:$E$65,3,FALSE),"no")</f>
        <v>Prestamos Personales</v>
      </c>
    </row>
    <row r="90" spans="1:41" x14ac:dyDescent="0.35">
      <c r="A90">
        <v>171112001</v>
      </c>
      <c r="B90">
        <v>80</v>
      </c>
      <c r="C90">
        <v>54541</v>
      </c>
      <c r="D90">
        <v>42833</v>
      </c>
      <c r="E90">
        <v>0</v>
      </c>
      <c r="F90" s="1">
        <v>46142</v>
      </c>
      <c r="G90" s="1">
        <v>47287</v>
      </c>
      <c r="H90" s="1">
        <v>45825</v>
      </c>
      <c r="I90">
        <v>1462</v>
      </c>
      <c r="J90">
        <v>2</v>
      </c>
      <c r="K90" s="11">
        <v>34</v>
      </c>
      <c r="L90">
        <v>2</v>
      </c>
      <c r="M90">
        <v>2</v>
      </c>
      <c r="N90" t="s">
        <v>92</v>
      </c>
      <c r="O90" t="s">
        <v>93</v>
      </c>
      <c r="P90">
        <v>999</v>
      </c>
      <c r="Q90" s="1" t="s">
        <v>94</v>
      </c>
      <c r="R90" s="12">
        <v>45825</v>
      </c>
      <c r="S90" s="12">
        <v>10000000</v>
      </c>
      <c r="T90" s="12">
        <v>-8856137.5</v>
      </c>
      <c r="U90" s="12">
        <v>-6412.4</v>
      </c>
      <c r="V90" s="12">
        <v>-8856137.5</v>
      </c>
      <c r="W90" s="12">
        <v>-115493.74</v>
      </c>
      <c r="X90" s="12">
        <v>89716.31</v>
      </c>
      <c r="Y90" t="str">
        <f t="shared" si="28"/>
        <v>Sit.Normal</v>
      </c>
      <c r="Z90">
        <f t="shared" ref="Z90:Z121" si="30">IF(Y90="Sit.Normal",1,IF(Y90="Riesgo potencia",2,IF(Y90="Con Problemas",3,IF(Y90="Alto Riesgo",4,IF(Y90="Irrecuperable",5,IF(Y90="Irrec Disp Tecn",6,IF(Y90="Sin identificación",0,"")))))))</f>
        <v>1</v>
      </c>
      <c r="AB90">
        <f>VLOOKUP(A90,rubros_a_considerar!$A$2:$A$13,1,FALSE)</f>
        <v>171112001</v>
      </c>
      <c r="AC90" s="2">
        <f t="shared" si="20"/>
        <v>-8971631.2400000002</v>
      </c>
      <c r="AD90" s="4">
        <f>IF(Z90&lt;=1,Diccionario!$M$2,Diccionario!$M$3)</f>
        <v>1.4999999999999999E-2</v>
      </c>
      <c r="AE90" s="93">
        <f t="shared" ref="AE90:AE121" si="31">1-(1-AD90)^(1/365)</f>
        <v>4.1406369609475746E-5</v>
      </c>
      <c r="AF90">
        <f t="shared" ref="AF90:AF121" si="32">+IFERROR(G90-$AR$1,0)</f>
        <v>1145</v>
      </c>
      <c r="AG90" s="5">
        <f t="shared" ref="AG90:AG121" si="33">+IF(AF90&lt;=0,10*365,AF90)</f>
        <v>1145</v>
      </c>
      <c r="AH90">
        <f t="shared" ref="AH90:AH121" si="34">+IF(Z90&lt;=1,MIN(AG90,365),AG90)</f>
        <v>365</v>
      </c>
      <c r="AI90">
        <f t="shared" ref="AI90:AI121" si="35">+(1-(AG90+1)*(1-AE90)^AG90+AG90*(1-AE90)^(AG90+1))/((1-(1-AE90)^AG90)*AE90)-0.5</f>
        <v>567.97634705454198</v>
      </c>
      <c r="AJ90" s="4">
        <f t="shared" ref="AJ90:AJ121" si="36">+IF(Z90&lt;3,AD90,1)</f>
        <v>1.4999999999999999E-2</v>
      </c>
      <c r="AK90">
        <f>IF(Z90&lt;=3,Diccionario!$O$2,IF(Z90=4,Diccionario!$O$5,Diccionario!$O$6))</f>
        <v>0.66499985814979368</v>
      </c>
      <c r="AL90">
        <f t="shared" ref="AL90:AL121" si="37">+IF(Z90&lt;=1,1,IF(Z90=2,2,3))</f>
        <v>1</v>
      </c>
      <c r="AM90" s="3">
        <f t="shared" si="29"/>
        <v>8971631.2400000002</v>
      </c>
      <c r="AN90" s="95">
        <f>MIN(AJ90*AK90*AM90*(1+'[2]Pesos escenarios'!$F$8/2),AM90)</f>
        <v>119276.79484943212</v>
      </c>
      <c r="AO90" t="str">
        <f>IFERROR(VLOOKUP(A90,Diccionario!$C$2:$E$65,3,FALSE),"no")</f>
        <v>Prestamos Personales</v>
      </c>
    </row>
    <row r="91" spans="1:41" x14ac:dyDescent="0.35">
      <c r="A91">
        <v>171112001</v>
      </c>
      <c r="B91">
        <v>80</v>
      </c>
      <c r="C91">
        <v>54541</v>
      </c>
      <c r="D91">
        <v>42832</v>
      </c>
      <c r="E91">
        <v>0</v>
      </c>
      <c r="F91" s="1">
        <v>46142</v>
      </c>
      <c r="G91" s="1">
        <v>47282</v>
      </c>
      <c r="H91" s="1">
        <v>45821</v>
      </c>
      <c r="I91">
        <v>1461</v>
      </c>
      <c r="J91">
        <v>2</v>
      </c>
      <c r="K91" s="11">
        <v>34</v>
      </c>
      <c r="L91">
        <v>2</v>
      </c>
      <c r="M91">
        <v>2</v>
      </c>
      <c r="N91" t="s">
        <v>92</v>
      </c>
      <c r="O91" t="s">
        <v>93</v>
      </c>
      <c r="P91">
        <v>999</v>
      </c>
      <c r="Q91" s="1" t="s">
        <v>94</v>
      </c>
      <c r="R91" s="12">
        <v>45821</v>
      </c>
      <c r="S91" s="12">
        <v>10000000</v>
      </c>
      <c r="T91" s="12">
        <v>-8856599.1899999995</v>
      </c>
      <c r="U91" s="12">
        <v>-6412.74</v>
      </c>
      <c r="V91" s="12">
        <v>-8856599.1899999995</v>
      </c>
      <c r="W91" s="12">
        <v>-148499.69</v>
      </c>
      <c r="X91" s="12">
        <v>90050.99</v>
      </c>
      <c r="Y91" t="str">
        <f t="shared" si="28"/>
        <v>Sit.Normal</v>
      </c>
      <c r="Z91">
        <f t="shared" si="30"/>
        <v>1</v>
      </c>
      <c r="AB91">
        <f>VLOOKUP(A91,rubros_a_considerar!$A$2:$A$13,1,FALSE)</f>
        <v>171112001</v>
      </c>
      <c r="AC91" s="2">
        <f t="shared" si="20"/>
        <v>-9005098.879999999</v>
      </c>
      <c r="AD91" s="134">
        <f>IF(Z91&lt;=1,Diccionario!$M$2,Diccionario!$M$3)</f>
        <v>1.4999999999999999E-2</v>
      </c>
      <c r="AE91" s="135">
        <f t="shared" si="31"/>
        <v>4.1406369609475746E-5</v>
      </c>
      <c r="AF91">
        <f t="shared" si="32"/>
        <v>1140</v>
      </c>
      <c r="AG91" s="5">
        <f t="shared" si="33"/>
        <v>1140</v>
      </c>
      <c r="AH91">
        <f t="shared" si="34"/>
        <v>365</v>
      </c>
      <c r="AI91">
        <f t="shared" si="35"/>
        <v>565.51576733152137</v>
      </c>
      <c r="AJ91" s="134">
        <f t="shared" si="36"/>
        <v>1.4999999999999999E-2</v>
      </c>
      <c r="AK91">
        <f>IF(Z91&lt;=3,Diccionario!$O$2,IF(Z91=4,Diccionario!$O$5,Diccionario!$O$6))</f>
        <v>0.66499985814979368</v>
      </c>
      <c r="AL91">
        <f t="shared" si="37"/>
        <v>1</v>
      </c>
      <c r="AM91" s="3">
        <f t="shared" si="29"/>
        <v>9005098.879999999</v>
      </c>
      <c r="AN91" s="95">
        <f>MIN(AJ91*AK91*AM91*(1+'[2]Pesos escenarios'!$F$8/2),AM91)</f>
        <v>119721.74323435643</v>
      </c>
      <c r="AO91" t="str">
        <f>IFERROR(VLOOKUP(A91,Diccionario!$C$2:$E$65,3,FALSE),"no")</f>
        <v>Prestamos Personales</v>
      </c>
    </row>
    <row r="92" spans="1:41" x14ac:dyDescent="0.35">
      <c r="A92">
        <v>171112001</v>
      </c>
      <c r="B92">
        <v>80</v>
      </c>
      <c r="C92">
        <v>83452</v>
      </c>
      <c r="D92">
        <v>42967</v>
      </c>
      <c r="E92">
        <v>0</v>
      </c>
      <c r="F92" s="1">
        <v>46142</v>
      </c>
      <c r="G92" s="1">
        <v>46842</v>
      </c>
      <c r="H92" s="1">
        <v>46101</v>
      </c>
      <c r="I92">
        <v>730</v>
      </c>
      <c r="J92">
        <v>2</v>
      </c>
      <c r="K92" s="11">
        <v>46</v>
      </c>
      <c r="L92">
        <v>1</v>
      </c>
      <c r="M92">
        <v>2</v>
      </c>
      <c r="N92" t="s">
        <v>92</v>
      </c>
      <c r="O92" t="s">
        <v>93</v>
      </c>
      <c r="P92">
        <v>999</v>
      </c>
      <c r="Q92" s="1" t="s">
        <v>94</v>
      </c>
      <c r="R92" s="12">
        <v>46101</v>
      </c>
      <c r="S92" s="12">
        <v>10000000</v>
      </c>
      <c r="T92" s="12">
        <v>-9901283.9900000002</v>
      </c>
      <c r="U92" s="12">
        <v>-7169.15</v>
      </c>
      <c r="V92" s="12">
        <v>-9901283.9900000002</v>
      </c>
      <c r="W92" s="12">
        <v>-14919.74</v>
      </c>
      <c r="X92" s="12">
        <v>99162.04</v>
      </c>
      <c r="Y92" t="str">
        <f t="shared" si="28"/>
        <v>Sit.Normal</v>
      </c>
      <c r="Z92">
        <f t="shared" si="30"/>
        <v>1</v>
      </c>
      <c r="AB92">
        <f>VLOOKUP(A92,rubros_a_considerar!$A$2:$A$13,1,FALSE)</f>
        <v>171112001</v>
      </c>
      <c r="AC92" s="2">
        <f t="shared" si="20"/>
        <v>-9916203.7300000004</v>
      </c>
      <c r="AD92" s="4">
        <f>IF(Z92&lt;=1,Diccionario!$M$2,Diccionario!$M$3)</f>
        <v>1.4999999999999999E-2</v>
      </c>
      <c r="AE92" s="93">
        <f t="shared" si="31"/>
        <v>4.1406369609475746E-5</v>
      </c>
      <c r="AF92">
        <f t="shared" si="32"/>
        <v>700</v>
      </c>
      <c r="AG92" s="5">
        <f t="shared" si="33"/>
        <v>700</v>
      </c>
      <c r="AH92">
        <f t="shared" si="34"/>
        <v>365</v>
      </c>
      <c r="AI92">
        <f t="shared" si="35"/>
        <v>348.30923199530821</v>
      </c>
      <c r="AJ92" s="4">
        <f t="shared" si="36"/>
        <v>1.4999999999999999E-2</v>
      </c>
      <c r="AK92">
        <f>IF(Z92&lt;=3,Diccionario!$O$2,IF(Z92=4,Diccionario!$O$5,Diccionario!$O$6))</f>
        <v>0.66499985814979368</v>
      </c>
      <c r="AL92">
        <f t="shared" si="37"/>
        <v>1</v>
      </c>
      <c r="AM92" s="3">
        <f t="shared" si="29"/>
        <v>9916203.7300000004</v>
      </c>
      <c r="AN92" s="95">
        <f>MIN(AJ92*AK92*AM92*(1+'[2]Pesos escenarios'!$F$8/2),AM92)</f>
        <v>131834.77634646778</v>
      </c>
      <c r="AO92" t="str">
        <f>IFERROR(VLOOKUP(A92,Diccionario!$C$2:$E$65,3,FALSE),"no")</f>
        <v>Prestamos Personales</v>
      </c>
    </row>
    <row r="93" spans="1:41" x14ac:dyDescent="0.35">
      <c r="A93">
        <v>171112001</v>
      </c>
      <c r="B93">
        <v>80</v>
      </c>
      <c r="C93">
        <v>14998</v>
      </c>
      <c r="D93">
        <v>42985</v>
      </c>
      <c r="E93">
        <v>0</v>
      </c>
      <c r="F93" s="1">
        <v>46142</v>
      </c>
      <c r="G93" s="1">
        <v>47602</v>
      </c>
      <c r="H93" s="1">
        <v>46140</v>
      </c>
      <c r="I93">
        <v>1441</v>
      </c>
      <c r="J93">
        <v>2</v>
      </c>
      <c r="K93" s="11">
        <v>55</v>
      </c>
      <c r="L93">
        <v>1</v>
      </c>
      <c r="M93">
        <v>2</v>
      </c>
      <c r="N93" t="s">
        <v>92</v>
      </c>
      <c r="O93" t="s">
        <v>93</v>
      </c>
      <c r="P93">
        <v>999</v>
      </c>
      <c r="Q93" s="1" t="s">
        <v>94</v>
      </c>
      <c r="R93" s="12">
        <v>46140</v>
      </c>
      <c r="S93" s="12">
        <v>10000000</v>
      </c>
      <c r="T93" s="12">
        <v>-10000000</v>
      </c>
      <c r="U93" s="12">
        <v>-7240.63</v>
      </c>
      <c r="V93" s="12">
        <v>-10000000</v>
      </c>
      <c r="W93" s="12">
        <v>-45205.48</v>
      </c>
      <c r="X93" s="12">
        <v>100452.05</v>
      </c>
      <c r="Y93" t="str">
        <f t="shared" si="28"/>
        <v>Sit.Normal</v>
      </c>
      <c r="Z93">
        <f t="shared" si="30"/>
        <v>1</v>
      </c>
      <c r="AB93">
        <f>VLOOKUP(A93,rubros_a_considerar!$A$2:$A$13,1,FALSE)</f>
        <v>171112001</v>
      </c>
      <c r="AC93" s="2">
        <f t="shared" si="20"/>
        <v>-10045205.48</v>
      </c>
      <c r="AD93" s="4">
        <f>IF(Z93&lt;=1,Diccionario!$M$2,Diccionario!$M$3)</f>
        <v>1.4999999999999999E-2</v>
      </c>
      <c r="AE93" s="93">
        <f t="shared" si="31"/>
        <v>4.1406369609475746E-5</v>
      </c>
      <c r="AF93">
        <f t="shared" si="32"/>
        <v>1460</v>
      </c>
      <c r="AG93" s="5">
        <f t="shared" si="33"/>
        <v>1460</v>
      </c>
      <c r="AH93">
        <f t="shared" si="34"/>
        <v>365</v>
      </c>
      <c r="AI93">
        <f t="shared" si="35"/>
        <v>722.64514782795914</v>
      </c>
      <c r="AJ93" s="4">
        <f t="shared" si="36"/>
        <v>1.4999999999999999E-2</v>
      </c>
      <c r="AK93">
        <f>IF(Z93&lt;=3,Diccionario!$O$2,IF(Z93=4,Diccionario!$O$5,Diccionario!$O$6))</f>
        <v>0.66499985814979368</v>
      </c>
      <c r="AL93">
        <f t="shared" si="37"/>
        <v>1</v>
      </c>
      <c r="AM93" s="3">
        <f t="shared" si="29"/>
        <v>10045205.48</v>
      </c>
      <c r="AN93" s="95">
        <f>MIN(AJ93*AK93*AM93*(1+'[2]Pesos escenarios'!$F$8/2),AM93)</f>
        <v>133549.8396229615</v>
      </c>
      <c r="AO93" t="str">
        <f>IFERROR(VLOOKUP(A93,Diccionario!$C$2:$E$65,3,FALSE),"no")</f>
        <v>Prestamos Personales</v>
      </c>
    </row>
    <row r="94" spans="1:41" x14ac:dyDescent="0.35">
      <c r="A94">
        <v>131742001</v>
      </c>
      <c r="B94">
        <v>80</v>
      </c>
      <c r="C94">
        <v>54512</v>
      </c>
      <c r="D94">
        <v>0</v>
      </c>
      <c r="E94">
        <v>0</v>
      </c>
      <c r="F94" s="1">
        <v>46142</v>
      </c>
      <c r="G94" s="1">
        <v>46142</v>
      </c>
      <c r="H94" s="1">
        <v>45845</v>
      </c>
      <c r="I94">
        <v>0</v>
      </c>
      <c r="J94">
        <v>0</v>
      </c>
      <c r="K94" s="11">
        <v>101.99</v>
      </c>
      <c r="L94">
        <v>0</v>
      </c>
      <c r="M94">
        <v>0</v>
      </c>
      <c r="N94" t="s">
        <v>92</v>
      </c>
      <c r="O94" t="s">
        <v>93</v>
      </c>
      <c r="P94">
        <v>999</v>
      </c>
      <c r="Q94" s="1" t="s">
        <v>94</v>
      </c>
      <c r="R94" s="12">
        <v>45845</v>
      </c>
      <c r="S94" s="12">
        <v>0</v>
      </c>
      <c r="T94" s="12">
        <v>0.03</v>
      </c>
      <c r="U94" s="12">
        <v>0</v>
      </c>
      <c r="V94" s="12">
        <v>0.03</v>
      </c>
      <c r="W94" s="12">
        <v>0</v>
      </c>
      <c r="X94" s="12">
        <v>0</v>
      </c>
      <c r="Y94" t="str">
        <f t="shared" si="28"/>
        <v>Sit.Normal</v>
      </c>
      <c r="Z94">
        <f t="shared" si="30"/>
        <v>1</v>
      </c>
      <c r="AB94">
        <f>VLOOKUP(A94,rubros_a_considerar!$A$2:$A$13,1,FALSE)</f>
        <v>131742001</v>
      </c>
      <c r="AC94" s="2">
        <f t="shared" si="20"/>
        <v>0.03</v>
      </c>
      <c r="AD94" s="4">
        <f>IF(Z94&lt;=1,Diccionario!$M$2,Diccionario!$M$3)</f>
        <v>1.4999999999999999E-2</v>
      </c>
      <c r="AE94" s="93">
        <f t="shared" si="31"/>
        <v>4.1406369609475746E-5</v>
      </c>
      <c r="AF94">
        <f t="shared" si="32"/>
        <v>0</v>
      </c>
      <c r="AG94" s="5">
        <f t="shared" si="33"/>
        <v>3650</v>
      </c>
      <c r="AH94">
        <f t="shared" si="34"/>
        <v>365</v>
      </c>
      <c r="AI94">
        <f t="shared" si="35"/>
        <v>1779.0468468185993</v>
      </c>
      <c r="AJ94" s="4">
        <f t="shared" si="36"/>
        <v>1.4999999999999999E-2</v>
      </c>
      <c r="AK94">
        <f>IF(Z94&lt;=3,Diccionario!$O$2,IF(Z94=4,Diccionario!$O$5,Diccionario!$O$6))</f>
        <v>0.66499985814979368</v>
      </c>
      <c r="AL94">
        <f t="shared" si="37"/>
        <v>1</v>
      </c>
      <c r="AM94" s="3">
        <f t="shared" si="29"/>
        <v>0</v>
      </c>
      <c r="AN94" s="95">
        <f>MIN(AJ94*AK94*AM94*(1+'[2]Pesos escenarios'!$F$8/2),AM94)</f>
        <v>0</v>
      </c>
      <c r="AO94" t="str">
        <f>IFERROR(VLOOKUP(A94,Diccionario!$C$2:$E$65,3,FALSE),"no")</f>
        <v>Tarjetas_de_Crédito</v>
      </c>
    </row>
    <row r="95" spans="1:41" x14ac:dyDescent="0.35">
      <c r="A95">
        <v>131742001</v>
      </c>
      <c r="B95">
        <v>80</v>
      </c>
      <c r="C95">
        <v>55127</v>
      </c>
      <c r="D95">
        <v>0</v>
      </c>
      <c r="E95">
        <v>0</v>
      </c>
      <c r="F95" s="1">
        <v>46142</v>
      </c>
      <c r="G95" s="1">
        <v>46142</v>
      </c>
      <c r="H95" s="1">
        <v>45786</v>
      </c>
      <c r="I95">
        <v>0</v>
      </c>
      <c r="J95">
        <v>0</v>
      </c>
      <c r="K95" s="11">
        <v>101.99</v>
      </c>
      <c r="L95">
        <v>0</v>
      </c>
      <c r="M95">
        <v>0</v>
      </c>
      <c r="N95" t="s">
        <v>92</v>
      </c>
      <c r="O95" t="s">
        <v>93</v>
      </c>
      <c r="P95">
        <v>999</v>
      </c>
      <c r="Q95" s="1" t="s">
        <v>94</v>
      </c>
      <c r="R95" s="12">
        <v>45786</v>
      </c>
      <c r="S95" s="12">
        <v>0</v>
      </c>
      <c r="T95" s="12">
        <v>-0.31</v>
      </c>
      <c r="U95" s="12">
        <v>0</v>
      </c>
      <c r="V95" s="12">
        <v>-0.31</v>
      </c>
      <c r="W95" s="12">
        <v>0</v>
      </c>
      <c r="X95" s="12">
        <v>0</v>
      </c>
      <c r="Y95" t="str">
        <f t="shared" si="28"/>
        <v>Sit.Normal</v>
      </c>
      <c r="Z95">
        <f t="shared" si="30"/>
        <v>1</v>
      </c>
      <c r="AB95">
        <f>VLOOKUP(A95,rubros_a_considerar!$A$2:$A$13,1,FALSE)</f>
        <v>131742001</v>
      </c>
      <c r="AC95" s="2">
        <f t="shared" si="20"/>
        <v>-0.31</v>
      </c>
      <c r="AD95" s="4">
        <f>IF(Z95&lt;=1,Diccionario!$M$2,Diccionario!$M$3)</f>
        <v>1.4999999999999999E-2</v>
      </c>
      <c r="AE95" s="93">
        <f t="shared" si="31"/>
        <v>4.1406369609475746E-5</v>
      </c>
      <c r="AF95">
        <f t="shared" si="32"/>
        <v>0</v>
      </c>
      <c r="AG95" s="5">
        <f t="shared" si="33"/>
        <v>3650</v>
      </c>
      <c r="AH95">
        <f t="shared" si="34"/>
        <v>365</v>
      </c>
      <c r="AI95">
        <f t="shared" si="35"/>
        <v>1779.0468468185993</v>
      </c>
      <c r="AJ95" s="4">
        <f t="shared" si="36"/>
        <v>1.4999999999999999E-2</v>
      </c>
      <c r="AK95">
        <f>IF(Z95&lt;=3,Diccionario!$O$2,IF(Z95=4,Diccionario!$O$5,Diccionario!$O$6))</f>
        <v>0.66499985814979368</v>
      </c>
      <c r="AL95">
        <f t="shared" si="37"/>
        <v>1</v>
      </c>
      <c r="AM95" s="3">
        <f t="shared" si="29"/>
        <v>0.31</v>
      </c>
      <c r="AN95" s="95">
        <f>MIN(AJ95*AK95*AM95*(1+'[2]Pesos escenarios'!$F$8/2),AM95)</f>
        <v>4.1214139785937026E-3</v>
      </c>
      <c r="AO95" t="str">
        <f>IFERROR(VLOOKUP(A95,Diccionario!$C$2:$E$65,3,FALSE),"no")</f>
        <v>Tarjetas_de_Crédito</v>
      </c>
    </row>
    <row r="96" spans="1:41" x14ac:dyDescent="0.35">
      <c r="A96">
        <v>135742001</v>
      </c>
      <c r="B96">
        <v>2</v>
      </c>
      <c r="C96">
        <v>84164</v>
      </c>
      <c r="D96">
        <v>0</v>
      </c>
      <c r="E96">
        <v>0</v>
      </c>
      <c r="F96" s="1">
        <v>46142</v>
      </c>
      <c r="G96" s="1">
        <v>46142</v>
      </c>
      <c r="H96" s="1">
        <v>46006</v>
      </c>
      <c r="I96">
        <v>0</v>
      </c>
      <c r="J96">
        <v>0</v>
      </c>
      <c r="K96" s="11">
        <v>0</v>
      </c>
      <c r="L96">
        <v>0</v>
      </c>
      <c r="M96">
        <v>0</v>
      </c>
      <c r="N96" t="s">
        <v>92</v>
      </c>
      <c r="O96" t="s">
        <v>93</v>
      </c>
      <c r="P96">
        <v>999</v>
      </c>
      <c r="Q96" s="1" t="s">
        <v>94</v>
      </c>
      <c r="R96" s="12">
        <v>46006</v>
      </c>
      <c r="S96" s="12">
        <v>0</v>
      </c>
      <c r="T96" s="12">
        <v>13.81</v>
      </c>
      <c r="U96" s="12">
        <v>0.01</v>
      </c>
      <c r="V96" s="12">
        <v>0.01</v>
      </c>
      <c r="W96" s="12">
        <v>0</v>
      </c>
      <c r="X96" s="12">
        <v>0</v>
      </c>
      <c r="Y96" t="str">
        <f t="shared" si="28"/>
        <v>Sit.Normal</v>
      </c>
      <c r="Z96">
        <f t="shared" si="30"/>
        <v>1</v>
      </c>
      <c r="AB96">
        <f>VLOOKUP(A96,rubros_a_considerar!$A$2:$A$13,1,FALSE)</f>
        <v>135742001</v>
      </c>
      <c r="AC96" s="2">
        <f t="shared" si="20"/>
        <v>13.81</v>
      </c>
      <c r="AD96" s="4">
        <f>IF(Z96&lt;=1,Diccionario!$M$2,Diccionario!$M$3)</f>
        <v>1.4999999999999999E-2</v>
      </c>
      <c r="AE96" s="93">
        <f t="shared" si="31"/>
        <v>4.1406369609475746E-5</v>
      </c>
      <c r="AF96">
        <f t="shared" si="32"/>
        <v>0</v>
      </c>
      <c r="AG96" s="5">
        <f t="shared" si="33"/>
        <v>3650</v>
      </c>
      <c r="AH96">
        <f t="shared" si="34"/>
        <v>365</v>
      </c>
      <c r="AI96">
        <f t="shared" si="35"/>
        <v>1779.0468468185993</v>
      </c>
      <c r="AJ96" s="4">
        <f t="shared" si="36"/>
        <v>1.4999999999999999E-2</v>
      </c>
      <c r="AK96">
        <f>IF(Z96&lt;=3,Diccionario!$O$2,IF(Z96=4,Diccionario!$O$5,Diccionario!$O$6))</f>
        <v>0.66499985814979368</v>
      </c>
      <c r="AL96">
        <f t="shared" si="37"/>
        <v>1</v>
      </c>
      <c r="AM96" s="3">
        <f t="shared" si="29"/>
        <v>0</v>
      </c>
      <c r="AN96" s="95">
        <f>MIN(AJ96*AK96*AM96*(1+'[2]Pesos escenarios'!$F$8/2),AM96)</f>
        <v>0</v>
      </c>
      <c r="AO96" t="str">
        <f>IFERROR(VLOOKUP(A96,Diccionario!$C$2:$E$65,3,FALSE),"no")</f>
        <v>Tarjetas_de_Crédito</v>
      </c>
    </row>
    <row r="97" spans="1:41" x14ac:dyDescent="0.35">
      <c r="A97">
        <v>131742001</v>
      </c>
      <c r="B97">
        <v>80</v>
      </c>
      <c r="C97">
        <v>490</v>
      </c>
      <c r="D97">
        <v>0</v>
      </c>
      <c r="E97">
        <v>0</v>
      </c>
      <c r="F97" s="1">
        <v>46142</v>
      </c>
      <c r="G97" s="1">
        <v>46142</v>
      </c>
      <c r="H97" s="1">
        <v>45939</v>
      </c>
      <c r="I97">
        <v>0</v>
      </c>
      <c r="J97">
        <v>0</v>
      </c>
      <c r="K97" s="11">
        <v>101.99</v>
      </c>
      <c r="L97">
        <v>0</v>
      </c>
      <c r="M97">
        <v>0</v>
      </c>
      <c r="N97" t="s">
        <v>92</v>
      </c>
      <c r="O97" t="s">
        <v>93</v>
      </c>
      <c r="P97">
        <v>999</v>
      </c>
      <c r="Q97" s="1" t="s">
        <v>94</v>
      </c>
      <c r="R97" s="12">
        <v>45939</v>
      </c>
      <c r="S97" s="12">
        <v>0</v>
      </c>
      <c r="T97" s="12">
        <v>404.86</v>
      </c>
      <c r="U97" s="12">
        <v>0.28999999999999998</v>
      </c>
      <c r="V97" s="12">
        <v>404.86</v>
      </c>
      <c r="W97" s="12">
        <v>0</v>
      </c>
      <c r="X97" s="12">
        <v>0</v>
      </c>
      <c r="Y97" t="str">
        <f t="shared" si="28"/>
        <v>Sit.Normal</v>
      </c>
      <c r="Z97">
        <f t="shared" si="30"/>
        <v>1</v>
      </c>
      <c r="AB97">
        <f>VLOOKUP(A97,rubros_a_considerar!$A$2:$A$13,1,FALSE)</f>
        <v>131742001</v>
      </c>
      <c r="AC97" s="2">
        <f t="shared" si="20"/>
        <v>404.86</v>
      </c>
      <c r="AD97" s="4">
        <f>IF(Z97&lt;=1,Diccionario!$M$2,Diccionario!$M$3)</f>
        <v>1.4999999999999999E-2</v>
      </c>
      <c r="AE97" s="93">
        <f t="shared" si="31"/>
        <v>4.1406369609475746E-5</v>
      </c>
      <c r="AF97">
        <f t="shared" si="32"/>
        <v>0</v>
      </c>
      <c r="AG97" s="5">
        <f t="shared" si="33"/>
        <v>3650</v>
      </c>
      <c r="AH97">
        <f t="shared" si="34"/>
        <v>365</v>
      </c>
      <c r="AI97">
        <f t="shared" si="35"/>
        <v>1779.0468468185993</v>
      </c>
      <c r="AJ97" s="4">
        <f t="shared" si="36"/>
        <v>1.4999999999999999E-2</v>
      </c>
      <c r="AK97">
        <f>IF(Z97&lt;=3,Diccionario!$O$2,IF(Z97=4,Diccionario!$O$5,Diccionario!$O$6))</f>
        <v>0.66499985814979368</v>
      </c>
      <c r="AL97">
        <f t="shared" si="37"/>
        <v>1</v>
      </c>
      <c r="AM97" s="3">
        <f t="shared" si="29"/>
        <v>0</v>
      </c>
      <c r="AN97" s="95">
        <f>MIN(AJ97*AK97*AM97*(1+'[2]Pesos escenarios'!$F$8/2),AM97)</f>
        <v>0</v>
      </c>
      <c r="AO97" t="str">
        <f>IFERROR(VLOOKUP(A97,Diccionario!$C$2:$E$65,3,FALSE),"no")</f>
        <v>Tarjetas_de_Crédito</v>
      </c>
    </row>
    <row r="98" spans="1:41" x14ac:dyDescent="0.35">
      <c r="A98">
        <v>135742001</v>
      </c>
      <c r="B98">
        <v>2</v>
      </c>
      <c r="C98">
        <v>59000</v>
      </c>
      <c r="D98">
        <v>0</v>
      </c>
      <c r="E98">
        <v>0</v>
      </c>
      <c r="F98" s="1">
        <v>46142</v>
      </c>
      <c r="G98" s="1">
        <v>46142</v>
      </c>
      <c r="H98" s="1">
        <v>46056</v>
      </c>
      <c r="I98">
        <v>0</v>
      </c>
      <c r="J98">
        <v>0</v>
      </c>
      <c r="K98" s="11">
        <v>0</v>
      </c>
      <c r="L98">
        <v>0</v>
      </c>
      <c r="M98">
        <v>0</v>
      </c>
      <c r="N98" t="s">
        <v>92</v>
      </c>
      <c r="O98" t="s">
        <v>93</v>
      </c>
      <c r="P98">
        <v>999</v>
      </c>
      <c r="Q98" s="1" t="s">
        <v>94</v>
      </c>
      <c r="R98" s="12">
        <v>46056</v>
      </c>
      <c r="S98" s="12">
        <v>0</v>
      </c>
      <c r="T98" s="12">
        <v>-3148.9</v>
      </c>
      <c r="U98" s="12">
        <v>-2.2799999999999998</v>
      </c>
      <c r="V98" s="12">
        <v>-2.2799999999999998</v>
      </c>
      <c r="W98" s="12">
        <v>0</v>
      </c>
      <c r="X98" s="12">
        <v>0.02</v>
      </c>
      <c r="Y98" t="str">
        <f t="shared" si="28"/>
        <v>Sit.Normal</v>
      </c>
      <c r="Z98">
        <f t="shared" si="30"/>
        <v>1</v>
      </c>
      <c r="AB98">
        <f>VLOOKUP(A98,rubros_a_considerar!$A$2:$A$13,1,FALSE)</f>
        <v>135742001</v>
      </c>
      <c r="AC98" s="2">
        <f t="shared" si="20"/>
        <v>-3148.9</v>
      </c>
      <c r="AD98" s="4">
        <f>IF(Z98&lt;=1,Diccionario!$M$2,Diccionario!$M$3)</f>
        <v>1.4999999999999999E-2</v>
      </c>
      <c r="AE98" s="93">
        <f t="shared" si="31"/>
        <v>4.1406369609475746E-5</v>
      </c>
      <c r="AF98">
        <f t="shared" si="32"/>
        <v>0</v>
      </c>
      <c r="AG98" s="5">
        <f t="shared" si="33"/>
        <v>3650</v>
      </c>
      <c r="AH98">
        <f t="shared" si="34"/>
        <v>365</v>
      </c>
      <c r="AI98">
        <f t="shared" si="35"/>
        <v>1779.0468468185993</v>
      </c>
      <c r="AJ98" s="4">
        <f t="shared" si="36"/>
        <v>1.4999999999999999E-2</v>
      </c>
      <c r="AK98">
        <f>IF(Z98&lt;=3,Diccionario!$O$2,IF(Z98=4,Diccionario!$O$5,Diccionario!$O$6))</f>
        <v>0.66499985814979368</v>
      </c>
      <c r="AL98">
        <f t="shared" si="37"/>
        <v>1</v>
      </c>
      <c r="AM98" s="3">
        <f t="shared" si="29"/>
        <v>3148.9</v>
      </c>
      <c r="AN98" s="95">
        <f>MIN(AJ98*AK98*AM98*(1+'[2]Pesos escenarios'!$F$8/2),AM98)</f>
        <v>41.864259603850677</v>
      </c>
      <c r="AO98" t="str">
        <f>IFERROR(VLOOKUP(A98,Diccionario!$C$2:$E$65,3,FALSE),"no")</f>
        <v>Tarjetas_de_Crédito</v>
      </c>
    </row>
    <row r="99" spans="1:41" x14ac:dyDescent="0.35">
      <c r="A99">
        <v>135742001</v>
      </c>
      <c r="B99">
        <v>2</v>
      </c>
      <c r="C99">
        <v>14998</v>
      </c>
      <c r="D99">
        <v>0</v>
      </c>
      <c r="E99">
        <v>0</v>
      </c>
      <c r="F99" s="1">
        <v>46142</v>
      </c>
      <c r="G99" s="1">
        <v>46142</v>
      </c>
      <c r="H99" s="1">
        <v>46129</v>
      </c>
      <c r="I99">
        <v>0</v>
      </c>
      <c r="J99">
        <v>0</v>
      </c>
      <c r="K99" s="11">
        <v>0</v>
      </c>
      <c r="L99">
        <v>0</v>
      </c>
      <c r="M99">
        <v>0</v>
      </c>
      <c r="N99" t="s">
        <v>92</v>
      </c>
      <c r="O99" t="s">
        <v>93</v>
      </c>
      <c r="P99">
        <v>999</v>
      </c>
      <c r="Q99" s="1" t="s">
        <v>94</v>
      </c>
      <c r="R99" s="12">
        <v>46129</v>
      </c>
      <c r="S99" s="12">
        <v>0</v>
      </c>
      <c r="T99" s="12">
        <v>-3383.68</v>
      </c>
      <c r="U99" s="12">
        <v>-2.4500000000000002</v>
      </c>
      <c r="V99" s="12">
        <v>-2.4500000000000002</v>
      </c>
      <c r="W99" s="12">
        <v>0</v>
      </c>
      <c r="X99" s="12">
        <v>0.02</v>
      </c>
      <c r="Y99" t="str">
        <f t="shared" si="28"/>
        <v>Sit.Normal</v>
      </c>
      <c r="Z99">
        <f t="shared" si="30"/>
        <v>1</v>
      </c>
      <c r="AB99">
        <f>VLOOKUP(A99,rubros_a_considerar!$A$2:$A$13,1,FALSE)</f>
        <v>135742001</v>
      </c>
      <c r="AC99" s="2">
        <f t="shared" si="20"/>
        <v>-3383.68</v>
      </c>
      <c r="AD99" s="4">
        <f>IF(Z99&lt;=1,Diccionario!$M$2,Diccionario!$M$3)</f>
        <v>1.4999999999999999E-2</v>
      </c>
      <c r="AE99" s="93">
        <f t="shared" si="31"/>
        <v>4.1406369609475746E-5</v>
      </c>
      <c r="AF99">
        <f t="shared" si="32"/>
        <v>0</v>
      </c>
      <c r="AG99" s="5">
        <f t="shared" si="33"/>
        <v>3650</v>
      </c>
      <c r="AH99">
        <f t="shared" si="34"/>
        <v>365</v>
      </c>
      <c r="AI99">
        <f t="shared" si="35"/>
        <v>1779.0468468185993</v>
      </c>
      <c r="AJ99" s="4">
        <f t="shared" si="36"/>
        <v>1.4999999999999999E-2</v>
      </c>
      <c r="AK99">
        <f>IF(Z99&lt;=3,Diccionario!$O$2,IF(Z99=4,Diccionario!$O$5,Diccionario!$O$6))</f>
        <v>0.66499985814979368</v>
      </c>
      <c r="AL99">
        <f t="shared" si="37"/>
        <v>1</v>
      </c>
      <c r="AM99" s="3">
        <f t="shared" si="29"/>
        <v>3383.68</v>
      </c>
      <c r="AN99" s="95">
        <f>MIN(AJ99*AK99*AM99*(1+'[2]Pesos escenarios'!$F$8/2),AM99)</f>
        <v>44.98563242286432</v>
      </c>
      <c r="AO99" t="str">
        <f>IFERROR(VLOOKUP(A99,Diccionario!$C$2:$E$65,3,FALSE),"no")</f>
        <v>Tarjetas_de_Crédito</v>
      </c>
    </row>
    <row r="100" spans="1:41" x14ac:dyDescent="0.35">
      <c r="A100">
        <v>135742001</v>
      </c>
      <c r="B100">
        <v>2</v>
      </c>
      <c r="C100">
        <v>2021</v>
      </c>
      <c r="D100">
        <v>0</v>
      </c>
      <c r="E100">
        <v>0</v>
      </c>
      <c r="F100" s="1">
        <v>46142</v>
      </c>
      <c r="G100" s="1">
        <v>46142</v>
      </c>
      <c r="H100" s="1">
        <v>45099</v>
      </c>
      <c r="I100">
        <v>0</v>
      </c>
      <c r="J100">
        <v>0</v>
      </c>
      <c r="K100" s="11">
        <v>0</v>
      </c>
      <c r="L100">
        <v>0</v>
      </c>
      <c r="M100">
        <v>0</v>
      </c>
      <c r="N100" t="s">
        <v>92</v>
      </c>
      <c r="O100" t="s">
        <v>93</v>
      </c>
      <c r="P100">
        <v>999</v>
      </c>
      <c r="Q100" s="1" t="s">
        <v>94</v>
      </c>
      <c r="R100" s="12">
        <v>45099</v>
      </c>
      <c r="S100" s="12">
        <v>0</v>
      </c>
      <c r="T100" s="12">
        <v>-4378.07</v>
      </c>
      <c r="U100" s="12">
        <v>-3.17</v>
      </c>
      <c r="V100" s="12">
        <v>-3.17</v>
      </c>
      <c r="W100" s="12">
        <v>0</v>
      </c>
      <c r="X100" s="12">
        <v>0.03</v>
      </c>
      <c r="Y100" t="str">
        <f t="shared" si="28"/>
        <v>Sit.Normal</v>
      </c>
      <c r="Z100">
        <f t="shared" si="30"/>
        <v>1</v>
      </c>
      <c r="AB100">
        <f>VLOOKUP(A100,rubros_a_considerar!$A$2:$A$13,1,FALSE)</f>
        <v>135742001</v>
      </c>
      <c r="AC100" s="2">
        <f t="shared" si="20"/>
        <v>-4378.07</v>
      </c>
      <c r="AD100" s="4">
        <f>IF(Z100&lt;=1,Diccionario!$M$2,Diccionario!$M$3)</f>
        <v>1.4999999999999999E-2</v>
      </c>
      <c r="AE100" s="93">
        <f t="shared" si="31"/>
        <v>4.1406369609475746E-5</v>
      </c>
      <c r="AF100">
        <f t="shared" si="32"/>
        <v>0</v>
      </c>
      <c r="AG100" s="5">
        <f t="shared" si="33"/>
        <v>3650</v>
      </c>
      <c r="AH100">
        <f t="shared" si="34"/>
        <v>365</v>
      </c>
      <c r="AI100">
        <f t="shared" si="35"/>
        <v>1779.0468468185993</v>
      </c>
      <c r="AJ100" s="4">
        <f t="shared" si="36"/>
        <v>1.4999999999999999E-2</v>
      </c>
      <c r="AK100">
        <f>IF(Z100&lt;=3,Diccionario!$O$2,IF(Z100=4,Diccionario!$O$5,Diccionario!$O$6))</f>
        <v>0.66499985814979368</v>
      </c>
      <c r="AL100">
        <f t="shared" si="37"/>
        <v>1</v>
      </c>
      <c r="AM100" s="3">
        <f t="shared" si="29"/>
        <v>4378.07</v>
      </c>
      <c r="AN100" s="95">
        <f>MIN(AJ100*AK100*AM100*(1+'[2]Pesos escenarios'!$F$8/2),AM100)</f>
        <v>58.205931926650742</v>
      </c>
      <c r="AO100" t="str">
        <f>IFERROR(VLOOKUP(A100,Diccionario!$C$2:$E$65,3,FALSE),"no")</f>
        <v>Tarjetas_de_Crédito</v>
      </c>
    </row>
    <row r="101" spans="1:41" x14ac:dyDescent="0.35">
      <c r="A101">
        <v>131742001</v>
      </c>
      <c r="B101">
        <v>80</v>
      </c>
      <c r="C101">
        <v>54857</v>
      </c>
      <c r="D101">
        <v>0</v>
      </c>
      <c r="E101">
        <v>0</v>
      </c>
      <c r="F101" s="1">
        <v>46142</v>
      </c>
      <c r="G101" s="1">
        <v>46142</v>
      </c>
      <c r="H101" s="1">
        <v>40450</v>
      </c>
      <c r="I101">
        <v>0</v>
      </c>
      <c r="J101">
        <v>0</v>
      </c>
      <c r="K101" s="11">
        <v>101.99</v>
      </c>
      <c r="L101">
        <v>0</v>
      </c>
      <c r="M101">
        <v>0</v>
      </c>
      <c r="N101" t="s">
        <v>92</v>
      </c>
      <c r="O101" t="s">
        <v>93</v>
      </c>
      <c r="P101">
        <v>999</v>
      </c>
      <c r="Q101" s="1" t="s">
        <v>94</v>
      </c>
      <c r="R101" s="12">
        <v>40450</v>
      </c>
      <c r="S101" s="12">
        <v>0</v>
      </c>
      <c r="T101" s="12">
        <v>4403.0600000000004</v>
      </c>
      <c r="U101" s="12">
        <v>3.19</v>
      </c>
      <c r="V101" s="12">
        <v>4403.0600000000004</v>
      </c>
      <c r="W101" s="12">
        <v>0</v>
      </c>
      <c r="X101" s="12">
        <v>0</v>
      </c>
      <c r="Y101" t="str">
        <f t="shared" si="28"/>
        <v>Sit.Normal</v>
      </c>
      <c r="Z101">
        <f t="shared" si="30"/>
        <v>1</v>
      </c>
      <c r="AB101">
        <f>VLOOKUP(A101,rubros_a_considerar!$A$2:$A$13,1,FALSE)</f>
        <v>131742001</v>
      </c>
      <c r="AC101" s="2">
        <f t="shared" si="20"/>
        <v>4403.0600000000004</v>
      </c>
      <c r="AD101" s="4">
        <f>IF(Z101&lt;=1,Diccionario!$M$2,Diccionario!$M$3)</f>
        <v>1.4999999999999999E-2</v>
      </c>
      <c r="AE101" s="93">
        <f t="shared" si="31"/>
        <v>4.1406369609475746E-5</v>
      </c>
      <c r="AF101">
        <f t="shared" si="32"/>
        <v>0</v>
      </c>
      <c r="AG101" s="5">
        <f t="shared" si="33"/>
        <v>3650</v>
      </c>
      <c r="AH101">
        <f t="shared" si="34"/>
        <v>365</v>
      </c>
      <c r="AI101">
        <f t="shared" si="35"/>
        <v>1779.0468468185993</v>
      </c>
      <c r="AJ101" s="4">
        <f t="shared" si="36"/>
        <v>1.4999999999999999E-2</v>
      </c>
      <c r="AK101">
        <f>IF(Z101&lt;=3,Diccionario!$O$2,IF(Z101=4,Diccionario!$O$5,Diccionario!$O$6))</f>
        <v>0.66499985814979368</v>
      </c>
      <c r="AL101">
        <f t="shared" si="37"/>
        <v>1</v>
      </c>
      <c r="AM101" s="3">
        <f t="shared" si="29"/>
        <v>0</v>
      </c>
      <c r="AN101" s="95">
        <f>MIN(AJ101*AK101*AM101*(1+'[2]Pesos escenarios'!$F$8/2),AM101)</f>
        <v>0</v>
      </c>
      <c r="AO101" t="str">
        <f>IFERROR(VLOOKUP(A101,Diccionario!$C$2:$E$65,3,FALSE),"no")</f>
        <v>Tarjetas_de_Crédito</v>
      </c>
    </row>
    <row r="102" spans="1:41" x14ac:dyDescent="0.35">
      <c r="A102">
        <v>135742001</v>
      </c>
      <c r="B102">
        <v>2</v>
      </c>
      <c r="C102">
        <v>54541</v>
      </c>
      <c r="D102">
        <v>0</v>
      </c>
      <c r="E102">
        <v>0</v>
      </c>
      <c r="F102" s="1">
        <v>46142</v>
      </c>
      <c r="G102" s="1">
        <v>46142</v>
      </c>
      <c r="H102" s="1">
        <v>46107</v>
      </c>
      <c r="I102">
        <v>0</v>
      </c>
      <c r="J102">
        <v>0</v>
      </c>
      <c r="K102" s="11">
        <v>0</v>
      </c>
      <c r="L102">
        <v>0</v>
      </c>
      <c r="M102">
        <v>0</v>
      </c>
      <c r="N102" t="s">
        <v>92</v>
      </c>
      <c r="O102" t="s">
        <v>93</v>
      </c>
      <c r="P102">
        <v>999</v>
      </c>
      <c r="Q102" s="1" t="s">
        <v>94</v>
      </c>
      <c r="R102" s="12">
        <v>46107</v>
      </c>
      <c r="S102" s="12">
        <v>0</v>
      </c>
      <c r="T102" s="12">
        <v>-6173.5</v>
      </c>
      <c r="U102" s="12">
        <v>-4.47</v>
      </c>
      <c r="V102" s="12">
        <v>-4.47</v>
      </c>
      <c r="W102" s="12">
        <v>0</v>
      </c>
      <c r="X102" s="12">
        <v>0.04</v>
      </c>
      <c r="Y102" t="str">
        <f t="shared" si="28"/>
        <v>Sit.Normal</v>
      </c>
      <c r="Z102">
        <f t="shared" si="30"/>
        <v>1</v>
      </c>
      <c r="AB102">
        <f>VLOOKUP(A102,rubros_a_considerar!$A$2:$A$13,1,FALSE)</f>
        <v>135742001</v>
      </c>
      <c r="AC102" s="2">
        <f t="shared" si="20"/>
        <v>-6173.5</v>
      </c>
      <c r="AD102" s="4">
        <f>IF(Z102&lt;=1,Diccionario!$M$2,Diccionario!$M$3)</f>
        <v>1.4999999999999999E-2</v>
      </c>
      <c r="AE102" s="93">
        <f t="shared" si="31"/>
        <v>4.1406369609475746E-5</v>
      </c>
      <c r="AF102">
        <f t="shared" si="32"/>
        <v>0</v>
      </c>
      <c r="AG102" s="5">
        <f t="shared" si="33"/>
        <v>3650</v>
      </c>
      <c r="AH102">
        <f t="shared" si="34"/>
        <v>365</v>
      </c>
      <c r="AI102">
        <f t="shared" si="35"/>
        <v>1779.0468468185993</v>
      </c>
      <c r="AJ102" s="4">
        <f t="shared" si="36"/>
        <v>1.4999999999999999E-2</v>
      </c>
      <c r="AK102">
        <f>IF(Z102&lt;=3,Diccionario!$O$2,IF(Z102=4,Diccionario!$O$5,Diccionario!$O$6))</f>
        <v>0.66499985814979368</v>
      </c>
      <c r="AL102">
        <f t="shared" si="37"/>
        <v>1</v>
      </c>
      <c r="AM102" s="3">
        <f t="shared" si="29"/>
        <v>6173.5</v>
      </c>
      <c r="AN102" s="95">
        <f>MIN(AJ102*AK102*AM102*(1+'[2]Pesos escenarios'!$F$8/2),AM102)</f>
        <v>82.075965151123299</v>
      </c>
      <c r="AO102" t="str">
        <f>IFERROR(VLOOKUP(A102,Diccionario!$C$2:$E$65,3,FALSE),"no")</f>
        <v>Tarjetas_de_Crédito</v>
      </c>
    </row>
    <row r="103" spans="1:41" x14ac:dyDescent="0.35">
      <c r="A103">
        <v>135742001</v>
      </c>
      <c r="B103">
        <v>2</v>
      </c>
      <c r="C103">
        <v>86330</v>
      </c>
      <c r="D103">
        <v>0</v>
      </c>
      <c r="E103">
        <v>0</v>
      </c>
      <c r="F103" s="1">
        <v>46142</v>
      </c>
      <c r="G103" s="1">
        <v>46142</v>
      </c>
      <c r="H103" s="1">
        <v>45966</v>
      </c>
      <c r="I103">
        <v>0</v>
      </c>
      <c r="J103">
        <v>0</v>
      </c>
      <c r="K103" s="11">
        <v>0</v>
      </c>
      <c r="L103">
        <v>0</v>
      </c>
      <c r="M103">
        <v>0</v>
      </c>
      <c r="N103" t="s">
        <v>92</v>
      </c>
      <c r="O103" t="s">
        <v>93</v>
      </c>
      <c r="P103">
        <v>0</v>
      </c>
      <c r="Q103" s="1" t="s">
        <v>94</v>
      </c>
      <c r="R103" s="12">
        <v>45966</v>
      </c>
      <c r="S103" s="12">
        <v>0</v>
      </c>
      <c r="T103" s="12">
        <v>-8507.5499999999993</v>
      </c>
      <c r="U103" s="12">
        <v>-6.16</v>
      </c>
      <c r="V103" s="12">
        <v>-6.16</v>
      </c>
      <c r="W103" s="12">
        <v>0</v>
      </c>
      <c r="X103" s="12">
        <v>0.06</v>
      </c>
      <c r="Y103" t="str">
        <f t="shared" si="28"/>
        <v>Sit.Normal</v>
      </c>
      <c r="Z103">
        <f t="shared" si="30"/>
        <v>1</v>
      </c>
      <c r="AB103">
        <f>VLOOKUP(A103,rubros_a_considerar!$A$2:$A$13,1,FALSE)</f>
        <v>135742001</v>
      </c>
      <c r="AC103" s="2">
        <f t="shared" si="20"/>
        <v>-8507.5499999999993</v>
      </c>
      <c r="AD103" s="4">
        <f>IF(Z103&lt;=1,Diccionario!$M$2,Diccionario!$M$3)</f>
        <v>1.4999999999999999E-2</v>
      </c>
      <c r="AE103" s="93">
        <f t="shared" si="31"/>
        <v>4.1406369609475746E-5</v>
      </c>
      <c r="AF103">
        <f t="shared" si="32"/>
        <v>0</v>
      </c>
      <c r="AG103" s="5">
        <f t="shared" si="33"/>
        <v>3650</v>
      </c>
      <c r="AH103">
        <f t="shared" si="34"/>
        <v>365</v>
      </c>
      <c r="AI103">
        <f t="shared" si="35"/>
        <v>1779.0468468185993</v>
      </c>
      <c r="AJ103" s="4">
        <f t="shared" si="36"/>
        <v>1.4999999999999999E-2</v>
      </c>
      <c r="AK103">
        <f>IF(Z103&lt;=3,Diccionario!$O$2,IF(Z103=4,Diccionario!$O$5,Diccionario!$O$6))</f>
        <v>0.66499985814979368</v>
      </c>
      <c r="AL103">
        <f t="shared" si="37"/>
        <v>1</v>
      </c>
      <c r="AM103" s="3">
        <f t="shared" si="29"/>
        <v>8507.5499999999993</v>
      </c>
      <c r="AN103" s="95">
        <f>MIN(AJ103*AK103*AM103*(1+'[2]Pesos escenarios'!$F$8/2),AM103)</f>
        <v>113.10688868898339</v>
      </c>
      <c r="AO103" t="str">
        <f>IFERROR(VLOOKUP(A103,Diccionario!$C$2:$E$65,3,FALSE),"no")</f>
        <v>Tarjetas_de_Crédito</v>
      </c>
    </row>
    <row r="104" spans="1:41" x14ac:dyDescent="0.35">
      <c r="A104">
        <v>135742001</v>
      </c>
      <c r="B104">
        <v>2</v>
      </c>
      <c r="C104">
        <v>59053</v>
      </c>
      <c r="D104">
        <v>0</v>
      </c>
      <c r="E104">
        <v>0</v>
      </c>
      <c r="F104" s="1">
        <v>46142</v>
      </c>
      <c r="G104" s="1">
        <v>46142</v>
      </c>
      <c r="H104" s="1">
        <v>46007</v>
      </c>
      <c r="I104">
        <v>0</v>
      </c>
      <c r="J104">
        <v>0</v>
      </c>
      <c r="K104" s="11">
        <v>0</v>
      </c>
      <c r="L104">
        <v>0</v>
      </c>
      <c r="M104">
        <v>0</v>
      </c>
      <c r="N104" t="s">
        <v>92</v>
      </c>
      <c r="O104" t="s">
        <v>93</v>
      </c>
      <c r="P104">
        <v>999</v>
      </c>
      <c r="Q104" s="1" t="s">
        <v>94</v>
      </c>
      <c r="R104" s="12">
        <v>46007</v>
      </c>
      <c r="S104" s="12">
        <v>0</v>
      </c>
      <c r="T104" s="12">
        <v>-9101.42</v>
      </c>
      <c r="U104" s="12">
        <v>-6.59</v>
      </c>
      <c r="V104" s="12">
        <v>-6.59</v>
      </c>
      <c r="W104" s="12">
        <v>0</v>
      </c>
      <c r="X104" s="12">
        <v>7.0000000000000007E-2</v>
      </c>
      <c r="Y104" t="str">
        <f t="shared" si="28"/>
        <v>Sit.Normal</v>
      </c>
      <c r="Z104">
        <f t="shared" si="30"/>
        <v>1</v>
      </c>
      <c r="AB104">
        <f>VLOOKUP(A104,rubros_a_considerar!$A$2:$A$13,1,FALSE)</f>
        <v>135742001</v>
      </c>
      <c r="AC104" s="2">
        <f t="shared" si="20"/>
        <v>-9101.42</v>
      </c>
      <c r="AD104" s="4">
        <f>IF(Z104&lt;=1,Diccionario!$M$2,Diccionario!$M$3)</f>
        <v>1.4999999999999999E-2</v>
      </c>
      <c r="AE104" s="93">
        <f t="shared" si="31"/>
        <v>4.1406369609475746E-5</v>
      </c>
      <c r="AF104">
        <f t="shared" si="32"/>
        <v>0</v>
      </c>
      <c r="AG104" s="5">
        <f t="shared" si="33"/>
        <v>3650</v>
      </c>
      <c r="AH104">
        <f t="shared" si="34"/>
        <v>365</v>
      </c>
      <c r="AI104">
        <f t="shared" si="35"/>
        <v>1779.0468468185993</v>
      </c>
      <c r="AJ104" s="4">
        <f t="shared" si="36"/>
        <v>1.4999999999999999E-2</v>
      </c>
      <c r="AK104">
        <f>IF(Z104&lt;=3,Diccionario!$O$2,IF(Z104=4,Diccionario!$O$5,Diccionario!$O$6))</f>
        <v>0.66499985814979368</v>
      </c>
      <c r="AL104">
        <f t="shared" si="37"/>
        <v>1</v>
      </c>
      <c r="AM104" s="3">
        <f t="shared" si="29"/>
        <v>9101.42</v>
      </c>
      <c r="AN104" s="95">
        <f>MIN(AJ104*AK104*AM104*(1+'[2]Pesos escenarios'!$F$8/2),AM104)</f>
        <v>121.00232133242676</v>
      </c>
      <c r="AO104" t="str">
        <f>IFERROR(VLOOKUP(A104,Diccionario!$C$2:$E$65,3,FALSE),"no")</f>
        <v>Tarjetas_de_Crédito</v>
      </c>
    </row>
    <row r="105" spans="1:41" x14ac:dyDescent="0.35">
      <c r="A105">
        <v>135742001</v>
      </c>
      <c r="B105">
        <v>2</v>
      </c>
      <c r="C105">
        <v>55026</v>
      </c>
      <c r="D105">
        <v>0</v>
      </c>
      <c r="E105">
        <v>0</v>
      </c>
      <c r="F105" s="1">
        <v>46142</v>
      </c>
      <c r="G105" s="1">
        <v>46142</v>
      </c>
      <c r="H105" s="1">
        <v>44677</v>
      </c>
      <c r="I105">
        <v>0</v>
      </c>
      <c r="J105">
        <v>0</v>
      </c>
      <c r="K105" s="11">
        <v>0</v>
      </c>
      <c r="L105">
        <v>0</v>
      </c>
      <c r="M105">
        <v>0</v>
      </c>
      <c r="N105" t="s">
        <v>92</v>
      </c>
      <c r="O105" t="s">
        <v>93</v>
      </c>
      <c r="P105">
        <v>999</v>
      </c>
      <c r="Q105" s="1" t="s">
        <v>94</v>
      </c>
      <c r="R105" s="12">
        <v>44677</v>
      </c>
      <c r="S105" s="12">
        <v>0</v>
      </c>
      <c r="T105" s="12">
        <v>15385.4</v>
      </c>
      <c r="U105" s="12">
        <v>11.14</v>
      </c>
      <c r="V105" s="12">
        <v>11.14</v>
      </c>
      <c r="W105" s="12">
        <v>0</v>
      </c>
      <c r="X105" s="12">
        <v>0</v>
      </c>
      <c r="Y105" t="str">
        <f t="shared" si="28"/>
        <v>Sit.Normal</v>
      </c>
      <c r="Z105">
        <f t="shared" si="30"/>
        <v>1</v>
      </c>
      <c r="AB105">
        <f>VLOOKUP(A105,rubros_a_considerar!$A$2:$A$13,1,FALSE)</f>
        <v>135742001</v>
      </c>
      <c r="AC105" s="2">
        <f t="shared" si="20"/>
        <v>15385.4</v>
      </c>
      <c r="AD105" s="4">
        <f>IF(Z105&lt;=1,Diccionario!$M$2,Diccionario!$M$3)</f>
        <v>1.4999999999999999E-2</v>
      </c>
      <c r="AE105" s="93">
        <f t="shared" si="31"/>
        <v>4.1406369609475746E-5</v>
      </c>
      <c r="AF105">
        <f t="shared" si="32"/>
        <v>0</v>
      </c>
      <c r="AG105" s="5">
        <f t="shared" si="33"/>
        <v>3650</v>
      </c>
      <c r="AH105">
        <f t="shared" si="34"/>
        <v>365</v>
      </c>
      <c r="AI105">
        <f t="shared" si="35"/>
        <v>1779.0468468185993</v>
      </c>
      <c r="AJ105" s="4">
        <f t="shared" si="36"/>
        <v>1.4999999999999999E-2</v>
      </c>
      <c r="AK105">
        <f>IF(Z105&lt;=3,Diccionario!$O$2,IF(Z105=4,Diccionario!$O$5,Diccionario!$O$6))</f>
        <v>0.66499985814979368</v>
      </c>
      <c r="AL105">
        <f t="shared" si="37"/>
        <v>1</v>
      </c>
      <c r="AM105" s="3">
        <f t="shared" si="29"/>
        <v>0</v>
      </c>
      <c r="AN105" s="95">
        <f>MIN(AJ105*AK105*AM105*(1+'[2]Pesos escenarios'!$F$8/2),AM105)</f>
        <v>0</v>
      </c>
      <c r="AO105" t="str">
        <f>IFERROR(VLOOKUP(A105,Diccionario!$C$2:$E$65,3,FALSE),"no")</f>
        <v>Tarjetas_de_Crédito</v>
      </c>
    </row>
    <row r="106" spans="1:41" x14ac:dyDescent="0.35">
      <c r="A106">
        <v>135742001</v>
      </c>
      <c r="B106">
        <v>2</v>
      </c>
      <c r="C106">
        <v>83994</v>
      </c>
      <c r="D106">
        <v>0</v>
      </c>
      <c r="E106">
        <v>0</v>
      </c>
      <c r="F106" s="1">
        <v>46142</v>
      </c>
      <c r="G106" s="1">
        <v>46142</v>
      </c>
      <c r="H106" s="1">
        <v>46056</v>
      </c>
      <c r="I106">
        <v>0</v>
      </c>
      <c r="J106">
        <v>0</v>
      </c>
      <c r="K106" s="11">
        <v>0</v>
      </c>
      <c r="L106">
        <v>0</v>
      </c>
      <c r="M106">
        <v>0</v>
      </c>
      <c r="N106" t="s">
        <v>92</v>
      </c>
      <c r="O106" t="s">
        <v>93</v>
      </c>
      <c r="P106">
        <v>999</v>
      </c>
      <c r="Q106" s="1" t="s">
        <v>94</v>
      </c>
      <c r="R106" s="12">
        <v>46056</v>
      </c>
      <c r="S106" s="12">
        <v>0</v>
      </c>
      <c r="T106" s="12">
        <v>-18354.759999999998</v>
      </c>
      <c r="U106" s="12">
        <v>-13.29</v>
      </c>
      <c r="V106" s="12">
        <v>-13.29</v>
      </c>
      <c r="W106" s="12">
        <v>0</v>
      </c>
      <c r="X106" s="12">
        <v>0.13</v>
      </c>
      <c r="Y106" t="str">
        <f t="shared" si="28"/>
        <v>Sit.Normal</v>
      </c>
      <c r="Z106">
        <f t="shared" si="30"/>
        <v>1</v>
      </c>
      <c r="AB106">
        <f>VLOOKUP(A106,rubros_a_considerar!$A$2:$A$13,1,FALSE)</f>
        <v>135742001</v>
      </c>
      <c r="AC106" s="2">
        <f t="shared" si="20"/>
        <v>-18354.759999999998</v>
      </c>
      <c r="AD106" s="4">
        <f>IF(Z106&lt;=1,Diccionario!$M$2,Diccionario!$M$3)</f>
        <v>1.4999999999999999E-2</v>
      </c>
      <c r="AE106" s="93">
        <f t="shared" si="31"/>
        <v>4.1406369609475746E-5</v>
      </c>
      <c r="AF106">
        <f t="shared" si="32"/>
        <v>0</v>
      </c>
      <c r="AG106" s="5">
        <f t="shared" si="33"/>
        <v>3650</v>
      </c>
      <c r="AH106">
        <f t="shared" si="34"/>
        <v>365</v>
      </c>
      <c r="AI106">
        <f t="shared" si="35"/>
        <v>1779.0468468185993</v>
      </c>
      <c r="AJ106" s="4">
        <f t="shared" si="36"/>
        <v>1.4999999999999999E-2</v>
      </c>
      <c r="AK106">
        <f>IF(Z106&lt;=3,Diccionario!$O$2,IF(Z106=4,Diccionario!$O$5,Diccionario!$O$6))</f>
        <v>0.66499985814979368</v>
      </c>
      <c r="AL106">
        <f t="shared" si="37"/>
        <v>1</v>
      </c>
      <c r="AM106" s="3">
        <f t="shared" si="29"/>
        <v>18354.759999999998</v>
      </c>
      <c r="AN106" s="95">
        <f>MIN(AJ106*AK106*AM106*(1+'[2]Pesos escenarios'!$F$8/2),AM106)</f>
        <v>244.02440141204045</v>
      </c>
      <c r="AO106" t="str">
        <f>IFERROR(VLOOKUP(A106,Diccionario!$C$2:$E$65,3,FALSE),"no")</f>
        <v>Tarjetas_de_Crédito</v>
      </c>
    </row>
    <row r="107" spans="1:41" x14ac:dyDescent="0.35">
      <c r="A107">
        <v>135742001</v>
      </c>
      <c r="B107">
        <v>2</v>
      </c>
      <c r="C107">
        <v>13377</v>
      </c>
      <c r="D107">
        <v>0</v>
      </c>
      <c r="E107">
        <v>0</v>
      </c>
      <c r="F107" s="1">
        <v>46142</v>
      </c>
      <c r="G107" s="1">
        <v>46142</v>
      </c>
      <c r="H107" s="1">
        <v>45832</v>
      </c>
      <c r="I107">
        <v>0</v>
      </c>
      <c r="J107">
        <v>0</v>
      </c>
      <c r="K107" s="11">
        <v>0</v>
      </c>
      <c r="L107">
        <v>0</v>
      </c>
      <c r="M107">
        <v>0</v>
      </c>
      <c r="N107" t="s">
        <v>92</v>
      </c>
      <c r="O107" t="s">
        <v>93</v>
      </c>
      <c r="P107">
        <v>999</v>
      </c>
      <c r="Q107" s="1" t="s">
        <v>94</v>
      </c>
      <c r="R107" s="12">
        <v>45832</v>
      </c>
      <c r="S107" s="12">
        <v>0</v>
      </c>
      <c r="T107" s="12">
        <v>-19238.66</v>
      </c>
      <c r="U107" s="12">
        <v>-13.93</v>
      </c>
      <c r="V107" s="12">
        <v>-13.93</v>
      </c>
      <c r="W107" s="12">
        <v>0</v>
      </c>
      <c r="X107" s="12">
        <v>0.14000000000000001</v>
      </c>
      <c r="Y107" t="str">
        <f t="shared" si="28"/>
        <v>Sit.Normal</v>
      </c>
      <c r="Z107">
        <f t="shared" si="30"/>
        <v>1</v>
      </c>
      <c r="AB107">
        <f>VLOOKUP(A107,rubros_a_considerar!$A$2:$A$13,1,FALSE)</f>
        <v>135742001</v>
      </c>
      <c r="AC107" s="2">
        <f t="shared" si="20"/>
        <v>-19238.66</v>
      </c>
      <c r="AD107" s="4">
        <f>IF(Z107&lt;=1,Diccionario!$M$2,Diccionario!$M$3)</f>
        <v>1.4999999999999999E-2</v>
      </c>
      <c r="AE107" s="93">
        <f t="shared" si="31"/>
        <v>4.1406369609475746E-5</v>
      </c>
      <c r="AF107">
        <f t="shared" si="32"/>
        <v>0</v>
      </c>
      <c r="AG107" s="5">
        <f t="shared" si="33"/>
        <v>3650</v>
      </c>
      <c r="AH107">
        <f t="shared" si="34"/>
        <v>365</v>
      </c>
      <c r="AI107">
        <f t="shared" si="35"/>
        <v>1779.0468468185993</v>
      </c>
      <c r="AJ107" s="4">
        <f t="shared" si="36"/>
        <v>1.4999999999999999E-2</v>
      </c>
      <c r="AK107">
        <f>IF(Z107&lt;=3,Diccionario!$O$2,IF(Z107=4,Diccionario!$O$5,Diccionario!$O$6))</f>
        <v>0.66499985814979368</v>
      </c>
      <c r="AL107">
        <f t="shared" si="37"/>
        <v>1</v>
      </c>
      <c r="AM107" s="3">
        <f t="shared" si="29"/>
        <v>19238.66</v>
      </c>
      <c r="AN107" s="95">
        <f>MIN(AJ107*AK107*AM107*(1+'[2]Pesos escenarios'!$F$8/2),AM107)</f>
        <v>255.77574920455331</v>
      </c>
      <c r="AO107" t="str">
        <f>IFERROR(VLOOKUP(A107,Diccionario!$C$2:$E$65,3,FALSE),"no")</f>
        <v>Tarjetas_de_Crédito</v>
      </c>
    </row>
    <row r="108" spans="1:41" x14ac:dyDescent="0.35">
      <c r="A108">
        <v>135742001</v>
      </c>
      <c r="B108">
        <v>2</v>
      </c>
      <c r="C108">
        <v>490</v>
      </c>
      <c r="D108">
        <v>0</v>
      </c>
      <c r="E108">
        <v>0</v>
      </c>
      <c r="F108" s="1">
        <v>46142</v>
      </c>
      <c r="G108" s="1">
        <v>46142</v>
      </c>
      <c r="H108" s="1">
        <v>46140</v>
      </c>
      <c r="I108">
        <v>0</v>
      </c>
      <c r="J108">
        <v>0</v>
      </c>
      <c r="K108" s="11">
        <v>0</v>
      </c>
      <c r="L108">
        <v>0</v>
      </c>
      <c r="M108">
        <v>0</v>
      </c>
      <c r="N108" t="s">
        <v>92</v>
      </c>
      <c r="O108" t="s">
        <v>93</v>
      </c>
      <c r="P108">
        <v>999</v>
      </c>
      <c r="Q108" s="1" t="s">
        <v>94</v>
      </c>
      <c r="R108" s="12">
        <v>46140</v>
      </c>
      <c r="S108" s="12">
        <v>0</v>
      </c>
      <c r="T108" s="12">
        <v>-19956.830000000002</v>
      </c>
      <c r="U108" s="12">
        <v>-14.45</v>
      </c>
      <c r="V108" s="12">
        <v>-14.45</v>
      </c>
      <c r="W108" s="12">
        <v>0</v>
      </c>
      <c r="X108" s="12">
        <v>0.14000000000000001</v>
      </c>
      <c r="Y108" t="str">
        <f t="shared" si="28"/>
        <v>Sit.Normal</v>
      </c>
      <c r="Z108">
        <f t="shared" si="30"/>
        <v>1</v>
      </c>
      <c r="AB108">
        <f>VLOOKUP(A108,rubros_a_considerar!$A$2:$A$13,1,FALSE)</f>
        <v>135742001</v>
      </c>
      <c r="AC108" s="2">
        <f t="shared" si="20"/>
        <v>-19956.830000000002</v>
      </c>
      <c r="AD108" s="4">
        <f>IF(Z108&lt;=1,Diccionario!$M$2,Diccionario!$M$3)</f>
        <v>1.4999999999999999E-2</v>
      </c>
      <c r="AE108" s="93">
        <f t="shared" si="31"/>
        <v>4.1406369609475746E-5</v>
      </c>
      <c r="AF108">
        <f t="shared" si="32"/>
        <v>0</v>
      </c>
      <c r="AG108" s="5">
        <f t="shared" si="33"/>
        <v>3650</v>
      </c>
      <c r="AH108">
        <f t="shared" si="34"/>
        <v>365</v>
      </c>
      <c r="AI108">
        <f t="shared" si="35"/>
        <v>1779.0468468185993</v>
      </c>
      <c r="AJ108" s="4">
        <f t="shared" si="36"/>
        <v>1.4999999999999999E-2</v>
      </c>
      <c r="AK108">
        <f>IF(Z108&lt;=3,Diccionario!$O$2,IF(Z108=4,Diccionario!$O$5,Diccionario!$O$6))</f>
        <v>0.66499985814979368</v>
      </c>
      <c r="AL108">
        <f t="shared" si="37"/>
        <v>1</v>
      </c>
      <c r="AM108" s="3">
        <f t="shared" si="29"/>
        <v>19956.830000000002</v>
      </c>
      <c r="AN108" s="95">
        <f>MIN(AJ108*AK108*AM108*(1+'[2]Pesos escenarios'!$F$8/2),AM108)</f>
        <v>265.32373590457473</v>
      </c>
      <c r="AO108" t="str">
        <f>IFERROR(VLOOKUP(A108,Diccionario!$C$2:$E$65,3,FALSE),"no")</f>
        <v>Tarjetas_de_Crédito</v>
      </c>
    </row>
    <row r="109" spans="1:41" x14ac:dyDescent="0.35">
      <c r="A109">
        <v>135742001</v>
      </c>
      <c r="B109">
        <v>2</v>
      </c>
      <c r="C109">
        <v>58440</v>
      </c>
      <c r="D109">
        <v>0</v>
      </c>
      <c r="E109">
        <v>0</v>
      </c>
      <c r="F109" s="1">
        <v>46142</v>
      </c>
      <c r="G109" s="1">
        <v>46142</v>
      </c>
      <c r="H109" s="1">
        <v>46056</v>
      </c>
      <c r="I109">
        <v>0</v>
      </c>
      <c r="J109">
        <v>0</v>
      </c>
      <c r="K109" s="11">
        <v>0</v>
      </c>
      <c r="L109">
        <v>0</v>
      </c>
      <c r="M109">
        <v>0</v>
      </c>
      <c r="N109" t="s">
        <v>92</v>
      </c>
      <c r="O109" t="s">
        <v>93</v>
      </c>
      <c r="P109">
        <v>999</v>
      </c>
      <c r="Q109" s="1" t="s">
        <v>94</v>
      </c>
      <c r="R109" s="12">
        <v>46056</v>
      </c>
      <c r="S109" s="12">
        <v>0</v>
      </c>
      <c r="T109" s="12">
        <v>-20702.62</v>
      </c>
      <c r="U109" s="12">
        <v>-14.99</v>
      </c>
      <c r="V109" s="12">
        <v>-14.99</v>
      </c>
      <c r="W109" s="12">
        <v>0</v>
      </c>
      <c r="X109" s="12">
        <v>0.15</v>
      </c>
      <c r="Y109" t="str">
        <f t="shared" si="28"/>
        <v>Sit.Normal</v>
      </c>
      <c r="Z109">
        <f t="shared" si="30"/>
        <v>1</v>
      </c>
      <c r="AB109">
        <f>VLOOKUP(A109,rubros_a_considerar!$A$2:$A$13,1,FALSE)</f>
        <v>135742001</v>
      </c>
      <c r="AC109" s="2">
        <f t="shared" si="20"/>
        <v>-20702.62</v>
      </c>
      <c r="AD109" s="4">
        <f>IF(Z109&lt;=1,Diccionario!$M$2,Diccionario!$M$3)</f>
        <v>1.4999999999999999E-2</v>
      </c>
      <c r="AE109" s="93">
        <f t="shared" si="31"/>
        <v>4.1406369609475746E-5</v>
      </c>
      <c r="AF109">
        <f t="shared" si="32"/>
        <v>0</v>
      </c>
      <c r="AG109" s="5">
        <f t="shared" si="33"/>
        <v>3650</v>
      </c>
      <c r="AH109">
        <f t="shared" si="34"/>
        <v>365</v>
      </c>
      <c r="AI109">
        <f t="shared" si="35"/>
        <v>1779.0468468185993</v>
      </c>
      <c r="AJ109" s="4">
        <f t="shared" si="36"/>
        <v>1.4999999999999999E-2</v>
      </c>
      <c r="AK109">
        <f>IF(Z109&lt;=3,Diccionario!$O$2,IF(Z109=4,Diccionario!$O$5,Diccionario!$O$6))</f>
        <v>0.66499985814979368</v>
      </c>
      <c r="AL109">
        <f t="shared" si="37"/>
        <v>1</v>
      </c>
      <c r="AM109" s="3">
        <f t="shared" si="29"/>
        <v>20702.62</v>
      </c>
      <c r="AN109" s="95">
        <f>MIN(AJ109*AK109*AM109*(1+'[2]Pesos escenarios'!$F$8/2),AM109)</f>
        <v>275.23892729520503</v>
      </c>
      <c r="AO109" t="str">
        <f>IFERROR(VLOOKUP(A109,Diccionario!$C$2:$E$65,3,FALSE),"no")</f>
        <v>Tarjetas_de_Crédito</v>
      </c>
    </row>
    <row r="110" spans="1:41" x14ac:dyDescent="0.35">
      <c r="A110">
        <v>131742001</v>
      </c>
      <c r="B110">
        <v>80</v>
      </c>
      <c r="C110">
        <v>13377</v>
      </c>
      <c r="D110">
        <v>0</v>
      </c>
      <c r="E110">
        <v>0</v>
      </c>
      <c r="F110" s="1">
        <v>46142</v>
      </c>
      <c r="G110" s="1">
        <v>46142</v>
      </c>
      <c r="H110" s="1">
        <v>45643</v>
      </c>
      <c r="I110">
        <v>0</v>
      </c>
      <c r="J110">
        <v>0</v>
      </c>
      <c r="K110" s="11">
        <v>101.99</v>
      </c>
      <c r="L110">
        <v>0</v>
      </c>
      <c r="M110">
        <v>0</v>
      </c>
      <c r="N110" t="s">
        <v>92</v>
      </c>
      <c r="O110" t="s">
        <v>93</v>
      </c>
      <c r="P110">
        <v>999</v>
      </c>
      <c r="Q110" s="1" t="s">
        <v>94</v>
      </c>
      <c r="R110" s="12">
        <v>45643</v>
      </c>
      <c r="S110" s="12">
        <v>0</v>
      </c>
      <c r="T110" s="12">
        <v>-20814.150000000001</v>
      </c>
      <c r="U110" s="12">
        <v>-15.07</v>
      </c>
      <c r="V110" s="12">
        <v>-20814.150000000001</v>
      </c>
      <c r="W110" s="12">
        <v>0</v>
      </c>
      <c r="X110" s="12">
        <v>208.14</v>
      </c>
      <c r="Y110" t="str">
        <f t="shared" si="28"/>
        <v>Sit.Normal</v>
      </c>
      <c r="Z110">
        <f t="shared" si="30"/>
        <v>1</v>
      </c>
      <c r="AB110">
        <f>VLOOKUP(A110,rubros_a_considerar!$A$2:$A$13,1,FALSE)</f>
        <v>131742001</v>
      </c>
      <c r="AC110" s="2">
        <f t="shared" si="20"/>
        <v>-20814.150000000001</v>
      </c>
      <c r="AD110" s="4">
        <f>IF(Z110&lt;=1,Diccionario!$M$2,Diccionario!$M$3)</f>
        <v>1.4999999999999999E-2</v>
      </c>
      <c r="AE110" s="93">
        <f t="shared" si="31"/>
        <v>4.1406369609475746E-5</v>
      </c>
      <c r="AF110">
        <f t="shared" si="32"/>
        <v>0</v>
      </c>
      <c r="AG110" s="5">
        <f t="shared" si="33"/>
        <v>3650</v>
      </c>
      <c r="AH110">
        <f t="shared" si="34"/>
        <v>365</v>
      </c>
      <c r="AI110">
        <f t="shared" si="35"/>
        <v>1779.0468468185993</v>
      </c>
      <c r="AJ110" s="4">
        <f t="shared" si="36"/>
        <v>1.4999999999999999E-2</v>
      </c>
      <c r="AK110">
        <f>IF(Z110&lt;=3,Diccionario!$O$2,IF(Z110=4,Diccionario!$O$5,Diccionario!$O$6))</f>
        <v>0.66499985814979368</v>
      </c>
      <c r="AL110">
        <f t="shared" si="37"/>
        <v>1</v>
      </c>
      <c r="AM110" s="3">
        <f t="shared" si="29"/>
        <v>20814.150000000001</v>
      </c>
      <c r="AN110" s="95">
        <f>MIN(AJ110*AK110*AM110*(1+'[2]Pesos escenarios'!$F$8/2),AM110)</f>
        <v>276.72170568563263</v>
      </c>
      <c r="AO110" t="str">
        <f>IFERROR(VLOOKUP(A110,Diccionario!$C$2:$E$65,3,FALSE),"no")</f>
        <v>Tarjetas_de_Crédito</v>
      </c>
    </row>
    <row r="111" spans="1:41" x14ac:dyDescent="0.35">
      <c r="A111">
        <v>135742001</v>
      </c>
      <c r="B111">
        <v>2</v>
      </c>
      <c r="C111">
        <v>2366</v>
      </c>
      <c r="D111">
        <v>0</v>
      </c>
      <c r="E111">
        <v>0</v>
      </c>
      <c r="F111" s="1">
        <v>46142</v>
      </c>
      <c r="G111" s="1">
        <v>46142</v>
      </c>
      <c r="H111" s="1">
        <v>45660</v>
      </c>
      <c r="I111">
        <v>0</v>
      </c>
      <c r="J111">
        <v>0</v>
      </c>
      <c r="K111" s="11">
        <v>0</v>
      </c>
      <c r="L111">
        <v>0</v>
      </c>
      <c r="M111">
        <v>0</v>
      </c>
      <c r="N111" t="s">
        <v>92</v>
      </c>
      <c r="O111" t="s">
        <v>93</v>
      </c>
      <c r="P111">
        <v>999</v>
      </c>
      <c r="Q111" s="1" t="s">
        <v>94</v>
      </c>
      <c r="R111" s="12">
        <v>45660</v>
      </c>
      <c r="S111" s="12">
        <v>0</v>
      </c>
      <c r="T111" s="12">
        <v>-22373.75</v>
      </c>
      <c r="U111" s="12">
        <v>-16.2</v>
      </c>
      <c r="V111" s="12">
        <v>-16.2</v>
      </c>
      <c r="W111" s="12">
        <v>0</v>
      </c>
      <c r="X111" s="12">
        <v>0.16</v>
      </c>
      <c r="Y111" t="str">
        <f t="shared" si="28"/>
        <v>Sit.Normal</v>
      </c>
      <c r="Z111">
        <f t="shared" si="30"/>
        <v>1</v>
      </c>
      <c r="AB111">
        <f>VLOOKUP(A111,rubros_a_considerar!$A$2:$A$13,1,FALSE)</f>
        <v>135742001</v>
      </c>
      <c r="AC111" s="2">
        <f t="shared" si="20"/>
        <v>-22373.75</v>
      </c>
      <c r="AD111" s="4">
        <f>IF(Z111&lt;=1,Diccionario!$M$2,Diccionario!$M$3)</f>
        <v>1.4999999999999999E-2</v>
      </c>
      <c r="AE111" s="93">
        <f t="shared" si="31"/>
        <v>4.1406369609475746E-5</v>
      </c>
      <c r="AF111">
        <f t="shared" si="32"/>
        <v>0</v>
      </c>
      <c r="AG111" s="5">
        <f t="shared" si="33"/>
        <v>3650</v>
      </c>
      <c r="AH111">
        <f t="shared" si="34"/>
        <v>365</v>
      </c>
      <c r="AI111">
        <f t="shared" si="35"/>
        <v>1779.0468468185993</v>
      </c>
      <c r="AJ111" s="4">
        <f t="shared" si="36"/>
        <v>1.4999999999999999E-2</v>
      </c>
      <c r="AK111">
        <f>IF(Z111&lt;=3,Diccionario!$O$2,IF(Z111=4,Diccionario!$O$5,Diccionario!$O$6))</f>
        <v>0.66499985814979368</v>
      </c>
      <c r="AL111">
        <f t="shared" si="37"/>
        <v>1</v>
      </c>
      <c r="AM111" s="3">
        <f t="shared" si="29"/>
        <v>22373.75</v>
      </c>
      <c r="AN111" s="95">
        <f>MIN(AJ111*AK111*AM111*(1+'[2]Pesos escenarios'!$F$8/2),AM111)</f>
        <v>297.45640646309954</v>
      </c>
      <c r="AO111" t="str">
        <f>IFERROR(VLOOKUP(A111,Diccionario!$C$2:$E$65,3,FALSE),"no")</f>
        <v>Tarjetas_de_Crédito</v>
      </c>
    </row>
    <row r="112" spans="1:41" x14ac:dyDescent="0.35">
      <c r="A112">
        <v>131742001</v>
      </c>
      <c r="B112">
        <v>80</v>
      </c>
      <c r="C112">
        <v>84164</v>
      </c>
      <c r="D112">
        <v>0</v>
      </c>
      <c r="E112">
        <v>0</v>
      </c>
      <c r="F112" s="1">
        <v>46142</v>
      </c>
      <c r="G112" s="1">
        <v>46142</v>
      </c>
      <c r="H112" s="1">
        <v>46029</v>
      </c>
      <c r="I112">
        <v>0</v>
      </c>
      <c r="J112">
        <v>0</v>
      </c>
      <c r="K112" s="11">
        <v>101.99</v>
      </c>
      <c r="L112">
        <v>0</v>
      </c>
      <c r="M112">
        <v>0</v>
      </c>
      <c r="N112" t="s">
        <v>92</v>
      </c>
      <c r="O112" t="s">
        <v>93</v>
      </c>
      <c r="P112">
        <v>999</v>
      </c>
      <c r="Q112" s="1" t="s">
        <v>94</v>
      </c>
      <c r="R112" s="12">
        <v>46029</v>
      </c>
      <c r="S112" s="12">
        <v>0</v>
      </c>
      <c r="T112" s="12">
        <v>-25014.26</v>
      </c>
      <c r="U112" s="12">
        <v>-18.11</v>
      </c>
      <c r="V112" s="12">
        <v>-25014.26</v>
      </c>
      <c r="W112" s="12">
        <v>0</v>
      </c>
      <c r="X112" s="12">
        <v>250.14</v>
      </c>
      <c r="Y112" t="str">
        <f t="shared" si="28"/>
        <v>Sit.Normal</v>
      </c>
      <c r="Z112">
        <f t="shared" si="30"/>
        <v>1</v>
      </c>
      <c r="AB112">
        <f>VLOOKUP(A112,rubros_a_considerar!$A$2:$A$13,1,FALSE)</f>
        <v>131742001</v>
      </c>
      <c r="AC112" s="2">
        <f t="shared" si="20"/>
        <v>-25014.26</v>
      </c>
      <c r="AD112" s="4">
        <f>IF(Z112&lt;=1,Diccionario!$M$2,Diccionario!$M$3)</f>
        <v>1.4999999999999999E-2</v>
      </c>
      <c r="AE112" s="93">
        <f t="shared" si="31"/>
        <v>4.1406369609475746E-5</v>
      </c>
      <c r="AF112">
        <f t="shared" si="32"/>
        <v>0</v>
      </c>
      <c r="AG112" s="5">
        <f t="shared" si="33"/>
        <v>3650</v>
      </c>
      <c r="AH112">
        <f t="shared" si="34"/>
        <v>365</v>
      </c>
      <c r="AI112">
        <f t="shared" si="35"/>
        <v>1779.0468468185993</v>
      </c>
      <c r="AJ112" s="4">
        <f t="shared" si="36"/>
        <v>1.4999999999999999E-2</v>
      </c>
      <c r="AK112">
        <f>IF(Z112&lt;=3,Diccionario!$O$2,IF(Z112=4,Diccionario!$O$5,Diccionario!$O$6))</f>
        <v>0.66499985814979368</v>
      </c>
      <c r="AL112">
        <f t="shared" si="37"/>
        <v>1</v>
      </c>
      <c r="AM112" s="3">
        <f t="shared" si="29"/>
        <v>25014.26</v>
      </c>
      <c r="AN112" s="95">
        <f>MIN(AJ112*AK112*AM112*(1+'[2]Pesos escenarios'!$F$8/2),AM112)</f>
        <v>332.56168009089453</v>
      </c>
      <c r="AO112" t="str">
        <f>IFERROR(VLOOKUP(A112,Diccionario!$C$2:$E$65,3,FALSE),"no")</f>
        <v>Tarjetas_de_Crédito</v>
      </c>
    </row>
    <row r="113" spans="1:41" x14ac:dyDescent="0.35">
      <c r="A113">
        <v>131742001</v>
      </c>
      <c r="B113">
        <v>80</v>
      </c>
      <c r="C113">
        <v>83538</v>
      </c>
      <c r="D113">
        <v>0</v>
      </c>
      <c r="E113">
        <v>0</v>
      </c>
      <c r="F113" s="1">
        <v>46142</v>
      </c>
      <c r="G113" s="1">
        <v>46142</v>
      </c>
      <c r="H113" s="1">
        <v>40939</v>
      </c>
      <c r="I113">
        <v>0</v>
      </c>
      <c r="J113">
        <v>0</v>
      </c>
      <c r="K113" s="11">
        <v>101.99</v>
      </c>
      <c r="L113">
        <v>0</v>
      </c>
      <c r="M113">
        <v>0</v>
      </c>
      <c r="N113" t="s">
        <v>92</v>
      </c>
      <c r="O113" t="s">
        <v>93</v>
      </c>
      <c r="P113">
        <v>999</v>
      </c>
      <c r="Q113" s="1" t="s">
        <v>94</v>
      </c>
      <c r="R113" s="12">
        <v>40939</v>
      </c>
      <c r="S113" s="12">
        <v>0</v>
      </c>
      <c r="T113" s="12">
        <v>-26383.34</v>
      </c>
      <c r="U113" s="12">
        <v>-19.100000000000001</v>
      </c>
      <c r="V113" s="12">
        <v>-26383.34</v>
      </c>
      <c r="W113" s="12">
        <v>0</v>
      </c>
      <c r="X113" s="12">
        <v>263.83</v>
      </c>
      <c r="Y113" t="str">
        <f t="shared" si="28"/>
        <v>Sit.Normal</v>
      </c>
      <c r="Z113">
        <f t="shared" si="30"/>
        <v>1</v>
      </c>
      <c r="AB113">
        <f>VLOOKUP(A113,rubros_a_considerar!$A$2:$A$13,1,FALSE)</f>
        <v>131742001</v>
      </c>
      <c r="AC113" s="2">
        <f t="shared" si="20"/>
        <v>-26383.34</v>
      </c>
      <c r="AD113" s="4">
        <f>IF(Z113&lt;=1,Diccionario!$M$2,Diccionario!$M$3)</f>
        <v>1.4999999999999999E-2</v>
      </c>
      <c r="AE113" s="93">
        <f t="shared" si="31"/>
        <v>4.1406369609475746E-5</v>
      </c>
      <c r="AF113">
        <f t="shared" si="32"/>
        <v>0</v>
      </c>
      <c r="AG113" s="5">
        <f t="shared" si="33"/>
        <v>3650</v>
      </c>
      <c r="AH113">
        <f t="shared" si="34"/>
        <v>365</v>
      </c>
      <c r="AI113">
        <f t="shared" si="35"/>
        <v>1779.0468468185993</v>
      </c>
      <c r="AJ113" s="4">
        <f t="shared" si="36"/>
        <v>1.4999999999999999E-2</v>
      </c>
      <c r="AK113">
        <f>IF(Z113&lt;=3,Diccionario!$O$2,IF(Z113=4,Diccionario!$O$5,Diccionario!$O$6))</f>
        <v>0.66499985814979368</v>
      </c>
      <c r="AL113">
        <f t="shared" si="37"/>
        <v>1</v>
      </c>
      <c r="AM113" s="3">
        <f t="shared" si="29"/>
        <v>26383.34</v>
      </c>
      <c r="AN113" s="95">
        <f>MIN(AJ113*AK113*AM113*(1+'[2]Pesos escenarios'!$F$8/2),AM113)</f>
        <v>350.7634396064206</v>
      </c>
      <c r="AO113" t="str">
        <f>IFERROR(VLOOKUP(A113,Diccionario!$C$2:$E$65,3,FALSE),"no")</f>
        <v>Tarjetas_de_Crédito</v>
      </c>
    </row>
    <row r="114" spans="1:41" x14ac:dyDescent="0.35">
      <c r="A114">
        <v>135742001</v>
      </c>
      <c r="B114">
        <v>2</v>
      </c>
      <c r="C114">
        <v>59558</v>
      </c>
      <c r="D114">
        <v>0</v>
      </c>
      <c r="E114">
        <v>0</v>
      </c>
      <c r="F114" s="1">
        <v>46142</v>
      </c>
      <c r="G114" s="1">
        <v>46142</v>
      </c>
      <c r="H114" s="1">
        <v>45677</v>
      </c>
      <c r="I114">
        <v>0</v>
      </c>
      <c r="J114">
        <v>0</v>
      </c>
      <c r="K114" s="11">
        <v>0</v>
      </c>
      <c r="L114">
        <v>0</v>
      </c>
      <c r="M114">
        <v>0</v>
      </c>
      <c r="N114" t="s">
        <v>92</v>
      </c>
      <c r="O114" t="s">
        <v>93</v>
      </c>
      <c r="P114">
        <v>999</v>
      </c>
      <c r="Q114" s="1" t="s">
        <v>94</v>
      </c>
      <c r="R114" s="12">
        <v>45677</v>
      </c>
      <c r="S114" s="12">
        <v>0</v>
      </c>
      <c r="T114" s="12">
        <v>-31143.7</v>
      </c>
      <c r="U114" s="12">
        <v>-22.55</v>
      </c>
      <c r="V114" s="12">
        <v>-22.55</v>
      </c>
      <c r="W114" s="12">
        <v>0</v>
      </c>
      <c r="X114" s="12">
        <v>0.23</v>
      </c>
      <c r="Y114" t="str">
        <f t="shared" si="28"/>
        <v>Sit.Normal</v>
      </c>
      <c r="Z114">
        <f t="shared" si="30"/>
        <v>1</v>
      </c>
      <c r="AB114">
        <f>VLOOKUP(A114,rubros_a_considerar!$A$2:$A$13,1,FALSE)</f>
        <v>135742001</v>
      </c>
      <c r="AC114" s="2">
        <f t="shared" si="20"/>
        <v>-31143.7</v>
      </c>
      <c r="AD114" s="4">
        <f>IF(Z114&lt;=1,Diccionario!$M$2,Diccionario!$M$3)</f>
        <v>1.4999999999999999E-2</v>
      </c>
      <c r="AE114" s="93">
        <f t="shared" si="31"/>
        <v>4.1406369609475746E-5</v>
      </c>
      <c r="AF114">
        <f t="shared" si="32"/>
        <v>0</v>
      </c>
      <c r="AG114" s="5">
        <f t="shared" si="33"/>
        <v>3650</v>
      </c>
      <c r="AH114">
        <f t="shared" si="34"/>
        <v>365</v>
      </c>
      <c r="AI114">
        <f t="shared" si="35"/>
        <v>1779.0468468185993</v>
      </c>
      <c r="AJ114" s="4">
        <f t="shared" si="36"/>
        <v>1.4999999999999999E-2</v>
      </c>
      <c r="AK114">
        <f>IF(Z114&lt;=3,Diccionario!$O$2,IF(Z114=4,Diccionario!$O$5,Diccionario!$O$6))</f>
        <v>0.66499985814979368</v>
      </c>
      <c r="AL114">
        <f t="shared" si="37"/>
        <v>1</v>
      </c>
      <c r="AM114" s="3">
        <f t="shared" si="29"/>
        <v>31143.7</v>
      </c>
      <c r="AN114" s="95">
        <f>MIN(AJ114*AK114*AM114*(1+'[2]Pesos escenarios'!$F$8/2),AM114)</f>
        <v>414.05187266170543</v>
      </c>
      <c r="AO114" t="str">
        <f>IFERROR(VLOOKUP(A114,Diccionario!$C$2:$E$65,3,FALSE),"no")</f>
        <v>Tarjetas_de_Crédito</v>
      </c>
    </row>
    <row r="115" spans="1:41" x14ac:dyDescent="0.35">
      <c r="A115">
        <v>135742001</v>
      </c>
      <c r="B115">
        <v>2</v>
      </c>
      <c r="C115">
        <v>6702</v>
      </c>
      <c r="D115">
        <v>0</v>
      </c>
      <c r="E115">
        <v>0</v>
      </c>
      <c r="F115" s="1">
        <v>46142</v>
      </c>
      <c r="G115" s="1">
        <v>46142</v>
      </c>
      <c r="H115" s="1">
        <v>45162</v>
      </c>
      <c r="I115">
        <v>0</v>
      </c>
      <c r="J115">
        <v>0</v>
      </c>
      <c r="K115" s="11">
        <v>0</v>
      </c>
      <c r="L115">
        <v>0</v>
      </c>
      <c r="M115">
        <v>0</v>
      </c>
      <c r="N115" t="s">
        <v>92</v>
      </c>
      <c r="O115" t="s">
        <v>93</v>
      </c>
      <c r="P115">
        <v>999</v>
      </c>
      <c r="Q115" s="1" t="s">
        <v>94</v>
      </c>
      <c r="R115" s="12">
        <v>45162</v>
      </c>
      <c r="S115" s="12">
        <v>0</v>
      </c>
      <c r="T115" s="12">
        <v>-31723.759999999998</v>
      </c>
      <c r="U115" s="12">
        <v>-22.97</v>
      </c>
      <c r="V115" s="12">
        <v>-22.97</v>
      </c>
      <c r="W115" s="12">
        <v>0</v>
      </c>
      <c r="X115" s="12">
        <v>0.23</v>
      </c>
      <c r="Y115" t="str">
        <f t="shared" si="28"/>
        <v>Sit.Normal</v>
      </c>
      <c r="Z115">
        <f t="shared" si="30"/>
        <v>1</v>
      </c>
      <c r="AB115">
        <f>VLOOKUP(A115,rubros_a_considerar!$A$2:$A$13,1,FALSE)</f>
        <v>135742001</v>
      </c>
      <c r="AC115" s="2">
        <f t="shared" si="20"/>
        <v>-31723.759999999998</v>
      </c>
      <c r="AD115" s="4">
        <f>IF(Z115&lt;=1,Diccionario!$M$2,Diccionario!$M$3)</f>
        <v>1.4999999999999999E-2</v>
      </c>
      <c r="AE115" s="93">
        <f t="shared" si="31"/>
        <v>4.1406369609475746E-5</v>
      </c>
      <c r="AF115">
        <f t="shared" si="32"/>
        <v>0</v>
      </c>
      <c r="AG115" s="5">
        <f t="shared" si="33"/>
        <v>3650</v>
      </c>
      <c r="AH115">
        <f t="shared" si="34"/>
        <v>365</v>
      </c>
      <c r="AI115">
        <f t="shared" si="35"/>
        <v>1779.0468468185993</v>
      </c>
      <c r="AJ115" s="4">
        <f t="shared" si="36"/>
        <v>1.4999999999999999E-2</v>
      </c>
      <c r="AK115">
        <f>IF(Z115&lt;=3,Diccionario!$O$2,IF(Z115=4,Diccionario!$O$5,Diccionario!$O$6))</f>
        <v>0.66499985814979368</v>
      </c>
      <c r="AL115">
        <f t="shared" si="37"/>
        <v>1</v>
      </c>
      <c r="AM115" s="3">
        <f t="shared" si="29"/>
        <v>31723.759999999998</v>
      </c>
      <c r="AN115" s="95">
        <f>MIN(AJ115*AK115*AM115*(1+'[2]Pesos escenarios'!$F$8/2),AM115)</f>
        <v>421.76370295984435</v>
      </c>
      <c r="AO115" t="str">
        <f>IFERROR(VLOOKUP(A115,Diccionario!$C$2:$E$65,3,FALSE),"no")</f>
        <v>Tarjetas_de_Crédito</v>
      </c>
    </row>
    <row r="116" spans="1:41" x14ac:dyDescent="0.35">
      <c r="A116">
        <v>135742001</v>
      </c>
      <c r="B116">
        <v>2</v>
      </c>
      <c r="C116">
        <v>82141</v>
      </c>
      <c r="D116">
        <v>0</v>
      </c>
      <c r="E116">
        <v>0</v>
      </c>
      <c r="F116" s="1">
        <v>46142</v>
      </c>
      <c r="G116" s="1">
        <v>46142</v>
      </c>
      <c r="H116" s="1">
        <v>45068</v>
      </c>
      <c r="I116">
        <v>0</v>
      </c>
      <c r="J116">
        <v>0</v>
      </c>
      <c r="K116" s="11">
        <v>0</v>
      </c>
      <c r="L116">
        <v>0</v>
      </c>
      <c r="M116">
        <v>0</v>
      </c>
      <c r="N116" t="s">
        <v>92</v>
      </c>
      <c r="O116" t="s">
        <v>93</v>
      </c>
      <c r="P116">
        <v>999</v>
      </c>
      <c r="Q116" s="1" t="s">
        <v>94</v>
      </c>
      <c r="R116" s="12">
        <v>45068</v>
      </c>
      <c r="S116" s="12">
        <v>0</v>
      </c>
      <c r="T116" s="12">
        <v>-36916.68</v>
      </c>
      <c r="U116" s="12">
        <v>-26.73</v>
      </c>
      <c r="V116" s="12">
        <v>-26.73</v>
      </c>
      <c r="W116" s="12">
        <v>0</v>
      </c>
      <c r="X116" s="12">
        <v>0.27</v>
      </c>
      <c r="Y116" t="str">
        <f t="shared" si="28"/>
        <v>Sit.Normal</v>
      </c>
      <c r="Z116">
        <f t="shared" si="30"/>
        <v>1</v>
      </c>
      <c r="AB116">
        <f>VLOOKUP(A116,rubros_a_considerar!$A$2:$A$13,1,FALSE)</f>
        <v>135742001</v>
      </c>
      <c r="AC116" s="2">
        <f t="shared" si="20"/>
        <v>-36916.68</v>
      </c>
      <c r="AD116" s="4">
        <f>IF(Z116&lt;=1,Diccionario!$M$2,Diccionario!$M$3)</f>
        <v>1.4999999999999999E-2</v>
      </c>
      <c r="AE116" s="93">
        <f t="shared" si="31"/>
        <v>4.1406369609475746E-5</v>
      </c>
      <c r="AF116">
        <f t="shared" si="32"/>
        <v>0</v>
      </c>
      <c r="AG116" s="5">
        <f t="shared" si="33"/>
        <v>3650</v>
      </c>
      <c r="AH116">
        <f t="shared" si="34"/>
        <v>365</v>
      </c>
      <c r="AI116">
        <f t="shared" si="35"/>
        <v>1779.0468468185993</v>
      </c>
      <c r="AJ116" s="4">
        <f t="shared" si="36"/>
        <v>1.4999999999999999E-2</v>
      </c>
      <c r="AK116">
        <f>IF(Z116&lt;=3,Diccionario!$O$2,IF(Z116=4,Diccionario!$O$5,Diccionario!$O$6))</f>
        <v>0.66499985814979368</v>
      </c>
      <c r="AL116">
        <f t="shared" si="37"/>
        <v>1</v>
      </c>
      <c r="AM116" s="136">
        <f t="shared" si="29"/>
        <v>36916.68</v>
      </c>
      <c r="AN116" s="95">
        <f>MIN(AJ116*AK116*AM116*(1+'[2]Pesos escenarios'!$F$8/2),AM116)</f>
        <v>490.80297095248574</v>
      </c>
      <c r="AO116" t="str">
        <f>IFERROR(VLOOKUP(A116,Diccionario!$C$2:$E$65,3,FALSE),"no")</f>
        <v>Tarjetas_de_Crédito</v>
      </c>
    </row>
    <row r="117" spans="1:41" x14ac:dyDescent="0.35">
      <c r="A117">
        <v>131742001</v>
      </c>
      <c r="B117">
        <v>80</v>
      </c>
      <c r="C117">
        <v>902</v>
      </c>
      <c r="D117">
        <v>0</v>
      </c>
      <c r="E117">
        <v>0</v>
      </c>
      <c r="F117" s="1">
        <v>46142</v>
      </c>
      <c r="G117" s="1">
        <v>46142</v>
      </c>
      <c r="H117" s="1">
        <v>40149</v>
      </c>
      <c r="I117">
        <v>0</v>
      </c>
      <c r="J117">
        <v>0</v>
      </c>
      <c r="K117" s="11">
        <v>101.99</v>
      </c>
      <c r="L117">
        <v>0</v>
      </c>
      <c r="M117">
        <v>0</v>
      </c>
      <c r="N117" t="s">
        <v>92</v>
      </c>
      <c r="O117" t="s">
        <v>93</v>
      </c>
      <c r="P117">
        <v>999</v>
      </c>
      <c r="Q117" s="1" t="s">
        <v>94</v>
      </c>
      <c r="R117" s="12">
        <v>40149</v>
      </c>
      <c r="S117" s="12">
        <v>0</v>
      </c>
      <c r="T117" s="12">
        <v>-38301.43</v>
      </c>
      <c r="U117" s="12">
        <v>-27.73</v>
      </c>
      <c r="V117" s="12">
        <v>-38301.43</v>
      </c>
      <c r="W117" s="12">
        <v>0</v>
      </c>
      <c r="X117" s="12">
        <v>383.01</v>
      </c>
      <c r="Y117" t="str">
        <f t="shared" si="28"/>
        <v>Sit.Normal</v>
      </c>
      <c r="Z117">
        <f t="shared" si="30"/>
        <v>1</v>
      </c>
      <c r="AB117">
        <f>VLOOKUP(A117,rubros_a_considerar!$A$2:$A$13,1,FALSE)</f>
        <v>131742001</v>
      </c>
      <c r="AC117" s="2">
        <f t="shared" si="20"/>
        <v>-38301.43</v>
      </c>
      <c r="AD117" s="4">
        <f>IF(Z117&lt;=1,Diccionario!$M$2,Diccionario!$M$3)</f>
        <v>1.4999999999999999E-2</v>
      </c>
      <c r="AE117" s="93">
        <f t="shared" si="31"/>
        <v>4.1406369609475746E-5</v>
      </c>
      <c r="AF117">
        <f t="shared" si="32"/>
        <v>0</v>
      </c>
      <c r="AG117" s="5">
        <f t="shared" si="33"/>
        <v>3650</v>
      </c>
      <c r="AH117">
        <f t="shared" si="34"/>
        <v>365</v>
      </c>
      <c r="AI117">
        <f t="shared" si="35"/>
        <v>1779.0468468185993</v>
      </c>
      <c r="AJ117" s="4">
        <f t="shared" si="36"/>
        <v>1.4999999999999999E-2</v>
      </c>
      <c r="AK117">
        <f>IF(Z117&lt;=3,Diccionario!$O$2,IF(Z117=4,Diccionario!$O$5,Diccionario!$O$6))</f>
        <v>0.66499985814979368</v>
      </c>
      <c r="AL117">
        <f t="shared" si="37"/>
        <v>1</v>
      </c>
      <c r="AM117" s="3">
        <f t="shared" si="29"/>
        <v>38301.43</v>
      </c>
      <c r="AN117" s="95">
        <f>MIN(AJ117*AK117*AM117*(1+'[2]Pesos escenarios'!$F$8/2),AM117)</f>
        <v>509.21306129718778</v>
      </c>
      <c r="AO117" t="str">
        <f>IFERROR(VLOOKUP(A117,Diccionario!$C$2:$E$65,3,FALSE),"no")</f>
        <v>Tarjetas_de_Crédito</v>
      </c>
    </row>
    <row r="118" spans="1:41" x14ac:dyDescent="0.35">
      <c r="A118">
        <v>131742001</v>
      </c>
      <c r="B118">
        <v>80</v>
      </c>
      <c r="C118">
        <v>49</v>
      </c>
      <c r="D118">
        <v>0</v>
      </c>
      <c r="E118">
        <v>0</v>
      </c>
      <c r="F118" s="1">
        <v>46142</v>
      </c>
      <c r="G118" s="1">
        <v>46142</v>
      </c>
      <c r="H118" s="1">
        <v>45922</v>
      </c>
      <c r="I118">
        <v>0</v>
      </c>
      <c r="J118">
        <v>0</v>
      </c>
      <c r="K118" s="11">
        <v>101.99</v>
      </c>
      <c r="L118">
        <v>0</v>
      </c>
      <c r="M118">
        <v>0</v>
      </c>
      <c r="N118" t="s">
        <v>92</v>
      </c>
      <c r="O118" t="s">
        <v>93</v>
      </c>
      <c r="P118">
        <v>999</v>
      </c>
      <c r="Q118" s="1" t="s">
        <v>94</v>
      </c>
      <c r="R118" s="12">
        <v>45922</v>
      </c>
      <c r="S118" s="12">
        <v>0</v>
      </c>
      <c r="T118" s="12">
        <v>-59748.59</v>
      </c>
      <c r="U118" s="12">
        <v>-43.26</v>
      </c>
      <c r="V118" s="12">
        <v>-59748.59</v>
      </c>
      <c r="W118" s="12">
        <v>0</v>
      </c>
      <c r="X118" s="12">
        <v>597.49</v>
      </c>
      <c r="Y118" t="str">
        <f t="shared" si="28"/>
        <v>Sit.Normal</v>
      </c>
      <c r="Z118">
        <f t="shared" si="30"/>
        <v>1</v>
      </c>
      <c r="AB118">
        <f>VLOOKUP(A118,rubros_a_considerar!$A$2:$A$13,1,FALSE)</f>
        <v>131742001</v>
      </c>
      <c r="AC118" s="2">
        <f t="shared" si="20"/>
        <v>-59748.59</v>
      </c>
      <c r="AD118" s="4">
        <f>IF(Z118&lt;=1,Diccionario!$M$2,Diccionario!$M$3)</f>
        <v>1.4999999999999999E-2</v>
      </c>
      <c r="AE118" s="93">
        <f t="shared" si="31"/>
        <v>4.1406369609475746E-5</v>
      </c>
      <c r="AF118">
        <f t="shared" si="32"/>
        <v>0</v>
      </c>
      <c r="AG118" s="5">
        <f t="shared" si="33"/>
        <v>3650</v>
      </c>
      <c r="AH118">
        <f t="shared" si="34"/>
        <v>365</v>
      </c>
      <c r="AI118">
        <f t="shared" si="35"/>
        <v>1779.0468468185993</v>
      </c>
      <c r="AJ118" s="4">
        <f t="shared" si="36"/>
        <v>1.4999999999999999E-2</v>
      </c>
      <c r="AK118">
        <f>IF(Z118&lt;=3,Diccionario!$O$2,IF(Z118=4,Diccionario!$O$5,Diccionario!$O$6))</f>
        <v>0.66499985814979368</v>
      </c>
      <c r="AL118">
        <f t="shared" si="37"/>
        <v>1</v>
      </c>
      <c r="AM118" s="3">
        <f t="shared" si="29"/>
        <v>59748.59</v>
      </c>
      <c r="AN118" s="95">
        <f>MIN(AJ118*AK118*AM118*(1+'[2]Pesos escenarios'!$F$8/2),AM118)</f>
        <v>794.35056137827064</v>
      </c>
      <c r="AO118" t="str">
        <f>IFERROR(VLOOKUP(A118,Diccionario!$C$2:$E$65,3,FALSE),"no")</f>
        <v>Tarjetas_de_Crédito</v>
      </c>
    </row>
    <row r="119" spans="1:41" x14ac:dyDescent="0.35">
      <c r="A119">
        <v>135742001</v>
      </c>
      <c r="B119">
        <v>2</v>
      </c>
      <c r="C119">
        <v>85455</v>
      </c>
      <c r="D119">
        <v>0</v>
      </c>
      <c r="E119">
        <v>0</v>
      </c>
      <c r="F119" s="1">
        <v>46142</v>
      </c>
      <c r="G119" s="1">
        <v>46142</v>
      </c>
      <c r="H119" s="1">
        <v>45989</v>
      </c>
      <c r="I119">
        <v>0</v>
      </c>
      <c r="J119">
        <v>0</v>
      </c>
      <c r="K119" s="11">
        <v>0</v>
      </c>
      <c r="L119">
        <v>0</v>
      </c>
      <c r="M119">
        <v>0</v>
      </c>
      <c r="N119" t="s">
        <v>92</v>
      </c>
      <c r="O119" t="s">
        <v>93</v>
      </c>
      <c r="P119">
        <v>620</v>
      </c>
      <c r="Q119" s="1" t="s">
        <v>95</v>
      </c>
      <c r="R119" s="12">
        <v>45989</v>
      </c>
      <c r="S119" s="12">
        <v>0</v>
      </c>
      <c r="T119" s="12">
        <v>-62149.29</v>
      </c>
      <c r="U119" s="12">
        <v>-45</v>
      </c>
      <c r="V119" s="12">
        <v>-45</v>
      </c>
      <c r="W119" s="12">
        <v>0</v>
      </c>
      <c r="X119" s="12">
        <v>0.45</v>
      </c>
      <c r="Y119" t="str">
        <f t="shared" si="28"/>
        <v>Sit.Normal</v>
      </c>
      <c r="Z119">
        <f t="shared" si="30"/>
        <v>1</v>
      </c>
      <c r="AB119">
        <f>VLOOKUP(A119,rubros_a_considerar!$A$2:$A$13,1,FALSE)</f>
        <v>135742001</v>
      </c>
      <c r="AC119" s="2">
        <f t="shared" si="20"/>
        <v>-62149.29</v>
      </c>
      <c r="AD119" s="4">
        <f>IF(Z119&lt;=1,Diccionario!$M$2,Diccionario!$M$3)</f>
        <v>1.4999999999999999E-2</v>
      </c>
      <c r="AE119" s="93">
        <f t="shared" si="31"/>
        <v>4.1406369609475746E-5</v>
      </c>
      <c r="AF119">
        <f t="shared" si="32"/>
        <v>0</v>
      </c>
      <c r="AG119" s="5">
        <f t="shared" si="33"/>
        <v>3650</v>
      </c>
      <c r="AH119">
        <f t="shared" si="34"/>
        <v>365</v>
      </c>
      <c r="AI119">
        <f t="shared" si="35"/>
        <v>1779.0468468185993</v>
      </c>
      <c r="AJ119" s="4">
        <f t="shared" si="36"/>
        <v>1.4999999999999999E-2</v>
      </c>
      <c r="AK119">
        <f>IF(Z119&lt;=3,Diccionario!$O$2,IF(Z119=4,Diccionario!$O$5,Diccionario!$O$6))</f>
        <v>0.66499985814979368</v>
      </c>
      <c r="AL119">
        <f t="shared" si="37"/>
        <v>1</v>
      </c>
      <c r="AM119" s="3">
        <f t="shared" si="29"/>
        <v>62149.29</v>
      </c>
      <c r="AN119" s="95">
        <f>MIN(AJ119*AK119*AM119*(1+'[2]Pesos escenarios'!$F$8/2),AM119)</f>
        <v>826.26758892152839</v>
      </c>
      <c r="AO119" t="str">
        <f>IFERROR(VLOOKUP(A119,Diccionario!$C$2:$E$65,3,FALSE),"no")</f>
        <v>Tarjetas_de_Crédito</v>
      </c>
    </row>
    <row r="120" spans="1:41" x14ac:dyDescent="0.35">
      <c r="A120">
        <v>135742001</v>
      </c>
      <c r="B120">
        <v>2</v>
      </c>
      <c r="C120">
        <v>451</v>
      </c>
      <c r="D120">
        <v>0</v>
      </c>
      <c r="E120">
        <v>0</v>
      </c>
      <c r="F120" s="1">
        <v>46142</v>
      </c>
      <c r="G120" s="1">
        <v>46142</v>
      </c>
      <c r="H120" s="1">
        <v>45243</v>
      </c>
      <c r="I120">
        <v>0</v>
      </c>
      <c r="J120">
        <v>0</v>
      </c>
      <c r="K120" s="11">
        <v>0</v>
      </c>
      <c r="L120">
        <v>0</v>
      </c>
      <c r="M120">
        <v>0</v>
      </c>
      <c r="N120" t="s">
        <v>92</v>
      </c>
      <c r="O120" t="s">
        <v>93</v>
      </c>
      <c r="P120">
        <v>990</v>
      </c>
      <c r="Q120" s="1" t="s">
        <v>95</v>
      </c>
      <c r="R120" s="12">
        <v>45243</v>
      </c>
      <c r="S120" s="12">
        <v>0</v>
      </c>
      <c r="T120" s="12">
        <v>-62218.35</v>
      </c>
      <c r="U120" s="12">
        <v>-45.05</v>
      </c>
      <c r="V120" s="12">
        <v>-45.05</v>
      </c>
      <c r="W120" s="12">
        <v>0</v>
      </c>
      <c r="X120" s="12">
        <v>0.45</v>
      </c>
      <c r="Y120" t="str">
        <f t="shared" si="28"/>
        <v>Sit.Normal</v>
      </c>
      <c r="Z120">
        <f t="shared" si="30"/>
        <v>1</v>
      </c>
      <c r="AB120">
        <f>VLOOKUP(A120,rubros_a_considerar!$A$2:$A$13,1,FALSE)</f>
        <v>135742001</v>
      </c>
      <c r="AC120" s="2">
        <f t="shared" si="20"/>
        <v>-62218.35</v>
      </c>
      <c r="AD120" s="4">
        <f>IF(Z120&lt;=1,Diccionario!$M$2,Diccionario!$M$3)</f>
        <v>1.4999999999999999E-2</v>
      </c>
      <c r="AE120" s="93">
        <f t="shared" si="31"/>
        <v>4.1406369609475746E-5</v>
      </c>
      <c r="AF120">
        <f t="shared" si="32"/>
        <v>0</v>
      </c>
      <c r="AG120" s="5">
        <f t="shared" si="33"/>
        <v>3650</v>
      </c>
      <c r="AH120">
        <f t="shared" si="34"/>
        <v>365</v>
      </c>
      <c r="AI120">
        <f t="shared" si="35"/>
        <v>1779.0468468185993</v>
      </c>
      <c r="AJ120" s="4">
        <f t="shared" si="36"/>
        <v>1.4999999999999999E-2</v>
      </c>
      <c r="AK120">
        <f>IF(Z120&lt;=3,Diccionario!$O$2,IF(Z120=4,Diccionario!$O$5,Diccionario!$O$6))</f>
        <v>0.66499985814979368</v>
      </c>
      <c r="AL120">
        <f t="shared" si="37"/>
        <v>1</v>
      </c>
      <c r="AM120" s="3">
        <f t="shared" si="29"/>
        <v>62218.35</v>
      </c>
      <c r="AN120" s="95">
        <f>MIN(AJ120*AK120*AM120*(1+'[2]Pesos escenarios'!$F$8/2),AM120)</f>
        <v>827.18573359688867</v>
      </c>
      <c r="AO120" t="str">
        <f>IFERROR(VLOOKUP(A120,Diccionario!$C$2:$E$65,3,FALSE),"no")</f>
        <v>Tarjetas_de_Crédito</v>
      </c>
    </row>
    <row r="121" spans="1:41" x14ac:dyDescent="0.35">
      <c r="A121">
        <v>131742001</v>
      </c>
      <c r="B121">
        <v>80</v>
      </c>
      <c r="C121">
        <v>54212</v>
      </c>
      <c r="D121">
        <v>0</v>
      </c>
      <c r="E121">
        <v>0</v>
      </c>
      <c r="F121" s="1">
        <v>46142</v>
      </c>
      <c r="G121" s="1">
        <v>46142</v>
      </c>
      <c r="H121" s="1">
        <v>45971</v>
      </c>
      <c r="I121">
        <v>0</v>
      </c>
      <c r="J121">
        <v>0</v>
      </c>
      <c r="K121" s="11">
        <v>101.99</v>
      </c>
      <c r="L121">
        <v>0</v>
      </c>
      <c r="M121">
        <v>0</v>
      </c>
      <c r="N121" t="s">
        <v>92</v>
      </c>
      <c r="O121" t="s">
        <v>93</v>
      </c>
      <c r="P121">
        <v>466</v>
      </c>
      <c r="Q121" s="1" t="s">
        <v>94</v>
      </c>
      <c r="R121" s="12">
        <v>45971</v>
      </c>
      <c r="S121" s="12">
        <v>0</v>
      </c>
      <c r="T121" s="12">
        <v>66508.479999999996</v>
      </c>
      <c r="U121" s="12">
        <v>48.16</v>
      </c>
      <c r="V121" s="12">
        <v>66508.479999999996</v>
      </c>
      <c r="W121" s="12">
        <v>0</v>
      </c>
      <c r="X121" s="12">
        <v>0</v>
      </c>
      <c r="Y121" t="str">
        <f t="shared" si="28"/>
        <v>Sit.Normal</v>
      </c>
      <c r="Z121">
        <f t="shared" si="30"/>
        <v>1</v>
      </c>
      <c r="AB121">
        <f>VLOOKUP(A121,rubros_a_considerar!$A$2:$A$13,1,FALSE)</f>
        <v>131742001</v>
      </c>
      <c r="AC121" s="2">
        <f t="shared" si="20"/>
        <v>66508.479999999996</v>
      </c>
      <c r="AD121" s="4">
        <f>IF(Z121&lt;=1,Diccionario!$M$2,Diccionario!$M$3)</f>
        <v>1.4999999999999999E-2</v>
      </c>
      <c r="AE121" s="93">
        <f t="shared" si="31"/>
        <v>4.1406369609475746E-5</v>
      </c>
      <c r="AF121">
        <f t="shared" si="32"/>
        <v>0</v>
      </c>
      <c r="AG121" s="5">
        <f t="shared" si="33"/>
        <v>3650</v>
      </c>
      <c r="AH121">
        <f t="shared" si="34"/>
        <v>365</v>
      </c>
      <c r="AI121">
        <f t="shared" si="35"/>
        <v>1779.0468468185993</v>
      </c>
      <c r="AJ121" s="4">
        <f t="shared" si="36"/>
        <v>1.4999999999999999E-2</v>
      </c>
      <c r="AK121">
        <f>IF(Z121&lt;=3,Diccionario!$O$2,IF(Z121=4,Diccionario!$O$5,Diccionario!$O$6))</f>
        <v>0.66499985814979368</v>
      </c>
      <c r="AL121">
        <f t="shared" si="37"/>
        <v>1</v>
      </c>
      <c r="AM121" s="3">
        <f t="shared" si="29"/>
        <v>0</v>
      </c>
      <c r="AN121" s="95">
        <f>MIN(AJ121*AK121*AM121*(1+'[2]Pesos escenarios'!$F$8/2),AM121)</f>
        <v>0</v>
      </c>
      <c r="AO121" t="str">
        <f>IFERROR(VLOOKUP(A121,Diccionario!$C$2:$E$65,3,FALSE),"no")</f>
        <v>Tarjetas_de_Crédito</v>
      </c>
    </row>
    <row r="122" spans="1:41" x14ac:dyDescent="0.35">
      <c r="A122">
        <v>131742001</v>
      </c>
      <c r="B122">
        <v>80</v>
      </c>
      <c r="C122">
        <v>54616</v>
      </c>
      <c r="D122">
        <v>0</v>
      </c>
      <c r="E122">
        <v>0</v>
      </c>
      <c r="F122" s="1">
        <v>46142</v>
      </c>
      <c r="G122" s="1">
        <v>46142</v>
      </c>
      <c r="H122" s="1">
        <v>46111</v>
      </c>
      <c r="I122">
        <v>0</v>
      </c>
      <c r="J122">
        <v>0</v>
      </c>
      <c r="K122" s="11">
        <v>101.99</v>
      </c>
      <c r="L122">
        <v>0</v>
      </c>
      <c r="M122">
        <v>0</v>
      </c>
      <c r="N122" t="s">
        <v>92</v>
      </c>
      <c r="O122" t="s">
        <v>93</v>
      </c>
      <c r="P122">
        <v>999</v>
      </c>
      <c r="Q122" s="1" t="s">
        <v>94</v>
      </c>
      <c r="R122" s="12">
        <v>46111</v>
      </c>
      <c r="S122" s="12">
        <v>0</v>
      </c>
      <c r="T122" s="12">
        <v>-66828.36</v>
      </c>
      <c r="U122" s="12">
        <v>-48.39</v>
      </c>
      <c r="V122" s="12">
        <v>-66828.36</v>
      </c>
      <c r="W122" s="12">
        <v>0</v>
      </c>
      <c r="X122" s="12">
        <v>668.28</v>
      </c>
      <c r="Y122" t="str">
        <f t="shared" si="28"/>
        <v>Sit.Normal</v>
      </c>
      <c r="Z122">
        <f t="shared" ref="Z122:Z153" si="38">IF(Y122="Sit.Normal",1,IF(Y122="Riesgo potencia",2,IF(Y122="Con Problemas",3,IF(Y122="Alto Riesgo",4,IF(Y122="Irrecuperable",5,IF(Y122="Irrec Disp Tecn",6,IF(Y122="Sin identificación",0,"")))))))</f>
        <v>1</v>
      </c>
      <c r="AB122">
        <f>VLOOKUP(A122,rubros_a_considerar!$A$2:$A$13,1,FALSE)</f>
        <v>131742001</v>
      </c>
      <c r="AC122" s="2">
        <f t="shared" si="20"/>
        <v>-66828.36</v>
      </c>
      <c r="AD122" s="4">
        <f>IF(Z122&lt;=1,Diccionario!$M$2,Diccionario!$M$3)</f>
        <v>1.4999999999999999E-2</v>
      </c>
      <c r="AE122" s="93">
        <f t="shared" ref="AE122:AE153" si="39">1-(1-AD122)^(1/365)</f>
        <v>4.1406369609475746E-5</v>
      </c>
      <c r="AF122">
        <f t="shared" ref="AF122:AF153" si="40">+IFERROR(G122-$AR$1,0)</f>
        <v>0</v>
      </c>
      <c r="AG122" s="5">
        <f t="shared" ref="AG122:AG153" si="41">+IF(AF122&lt;=0,10*365,AF122)</f>
        <v>3650</v>
      </c>
      <c r="AH122">
        <f t="shared" ref="AH122:AH153" si="42">+IF(Z122&lt;=1,MIN(AG122,365),AG122)</f>
        <v>365</v>
      </c>
      <c r="AI122">
        <f t="shared" ref="AI122:AI153" si="43">+(1-(AG122+1)*(1-AE122)^AG122+AG122*(1-AE122)^(AG122+1))/((1-(1-AE122)^AG122)*AE122)-0.5</f>
        <v>1779.0468468185993</v>
      </c>
      <c r="AJ122" s="4">
        <f t="shared" ref="AJ122:AJ153" si="44">+IF(Z122&lt;3,AD122,1)</f>
        <v>1.4999999999999999E-2</v>
      </c>
      <c r="AK122">
        <f>IF(Z122&lt;=3,Diccionario!$O$2,IF(Z122=4,Diccionario!$O$5,Diccionario!$O$6))</f>
        <v>0.66499985814979368</v>
      </c>
      <c r="AL122">
        <f t="shared" ref="AL122:AL153" si="45">+IF(Z122&lt;=1,1,IF(Z122=2,2,3))</f>
        <v>1</v>
      </c>
      <c r="AM122" s="3">
        <f t="shared" si="29"/>
        <v>66828.36</v>
      </c>
      <c r="AN122" s="95">
        <f>MIN(AJ122*AK122*AM122*(1+'[2]Pesos escenarios'!$F$8/2),AM122)</f>
        <v>888.47528087255569</v>
      </c>
      <c r="AO122" t="str">
        <f>IFERROR(VLOOKUP(A122,Diccionario!$C$2:$E$65,3,FALSE),"no")</f>
        <v>Tarjetas_de_Crédito</v>
      </c>
    </row>
    <row r="123" spans="1:41" x14ac:dyDescent="0.35">
      <c r="A123">
        <v>131742001</v>
      </c>
      <c r="B123">
        <v>80</v>
      </c>
      <c r="C123">
        <v>59000</v>
      </c>
      <c r="D123">
        <v>0</v>
      </c>
      <c r="E123">
        <v>0</v>
      </c>
      <c r="F123" s="1">
        <v>46142</v>
      </c>
      <c r="G123" s="1">
        <v>46142</v>
      </c>
      <c r="H123" s="1">
        <v>45763</v>
      </c>
      <c r="I123">
        <v>0</v>
      </c>
      <c r="J123">
        <v>0</v>
      </c>
      <c r="K123" s="11">
        <v>101.99</v>
      </c>
      <c r="L123">
        <v>0</v>
      </c>
      <c r="M123">
        <v>0</v>
      </c>
      <c r="N123" t="s">
        <v>92</v>
      </c>
      <c r="O123" t="s">
        <v>93</v>
      </c>
      <c r="P123">
        <v>999</v>
      </c>
      <c r="Q123" s="1" t="s">
        <v>94</v>
      </c>
      <c r="R123" s="12">
        <v>45763</v>
      </c>
      <c r="S123" s="12">
        <v>0</v>
      </c>
      <c r="T123" s="12">
        <v>-67983.03</v>
      </c>
      <c r="U123" s="12">
        <v>-49.22</v>
      </c>
      <c r="V123" s="12">
        <v>-67983.03</v>
      </c>
      <c r="W123" s="12">
        <v>0</v>
      </c>
      <c r="X123" s="12">
        <v>679.83</v>
      </c>
      <c r="Y123" t="str">
        <f t="shared" si="28"/>
        <v>Sit.Normal</v>
      </c>
      <c r="Z123">
        <f t="shared" si="38"/>
        <v>1</v>
      </c>
      <c r="AB123">
        <f>VLOOKUP(A123,rubros_a_considerar!$A$2:$A$13,1,FALSE)</f>
        <v>131742001</v>
      </c>
      <c r="AC123" s="2">
        <f t="shared" si="20"/>
        <v>-67983.03</v>
      </c>
      <c r="AD123" s="4">
        <f>IF(Z123&lt;=1,Diccionario!$M$2,Diccionario!$M$3)</f>
        <v>1.4999999999999999E-2</v>
      </c>
      <c r="AE123" s="93">
        <f t="shared" si="39"/>
        <v>4.1406369609475746E-5</v>
      </c>
      <c r="AF123">
        <f t="shared" si="40"/>
        <v>0</v>
      </c>
      <c r="AG123" s="5">
        <f t="shared" si="41"/>
        <v>3650</v>
      </c>
      <c r="AH123">
        <f t="shared" si="42"/>
        <v>365</v>
      </c>
      <c r="AI123">
        <f t="shared" si="43"/>
        <v>1779.0468468185993</v>
      </c>
      <c r="AJ123" s="4">
        <f t="shared" si="44"/>
        <v>1.4999999999999999E-2</v>
      </c>
      <c r="AK123">
        <f>IF(Z123&lt;=3,Diccionario!$O$2,IF(Z123=4,Diccionario!$O$5,Diccionario!$O$6))</f>
        <v>0.66499985814979368</v>
      </c>
      <c r="AL123">
        <f t="shared" si="45"/>
        <v>1</v>
      </c>
      <c r="AM123" s="3">
        <f t="shared" si="29"/>
        <v>67983.03</v>
      </c>
      <c r="AN123" s="95">
        <f>MIN(AJ123*AK123*AM123*(1+'[2]Pesos escenarios'!$F$8/2),AM123)</f>
        <v>903.82648435211308</v>
      </c>
      <c r="AO123" t="str">
        <f>IFERROR(VLOOKUP(A123,Diccionario!$C$2:$E$65,3,FALSE),"no")</f>
        <v>Tarjetas_de_Crédito</v>
      </c>
    </row>
    <row r="124" spans="1:41" x14ac:dyDescent="0.35">
      <c r="A124">
        <v>131742001</v>
      </c>
      <c r="B124">
        <v>80</v>
      </c>
      <c r="C124">
        <v>7810</v>
      </c>
      <c r="D124">
        <v>0</v>
      </c>
      <c r="E124">
        <v>0</v>
      </c>
      <c r="F124" s="1">
        <v>46142</v>
      </c>
      <c r="G124" s="1">
        <v>46142</v>
      </c>
      <c r="H124" s="1">
        <v>40666</v>
      </c>
      <c r="I124">
        <v>0</v>
      </c>
      <c r="J124">
        <v>0</v>
      </c>
      <c r="K124" s="11">
        <v>101.99</v>
      </c>
      <c r="L124">
        <v>0</v>
      </c>
      <c r="M124">
        <v>0</v>
      </c>
      <c r="N124" t="s">
        <v>92</v>
      </c>
      <c r="O124" t="s">
        <v>93</v>
      </c>
      <c r="P124">
        <v>0</v>
      </c>
      <c r="Q124" s="1" t="s">
        <v>94</v>
      </c>
      <c r="R124" s="12">
        <v>40666</v>
      </c>
      <c r="S124" s="12">
        <v>0</v>
      </c>
      <c r="T124" s="12">
        <v>-71211.240000000005</v>
      </c>
      <c r="U124" s="12">
        <v>-51.56</v>
      </c>
      <c r="V124" s="12">
        <v>-71211.240000000005</v>
      </c>
      <c r="W124" s="12">
        <v>0</v>
      </c>
      <c r="X124" s="12">
        <v>712.11</v>
      </c>
      <c r="Y124" t="str">
        <f t="shared" si="28"/>
        <v>Sit.Normal</v>
      </c>
      <c r="Z124">
        <f t="shared" si="38"/>
        <v>1</v>
      </c>
      <c r="AB124">
        <f>VLOOKUP(A124,rubros_a_considerar!$A$2:$A$13,1,FALSE)</f>
        <v>131742001</v>
      </c>
      <c r="AC124" s="2">
        <f t="shared" si="20"/>
        <v>-71211.240000000005</v>
      </c>
      <c r="AD124" s="4">
        <f>IF(Z124&lt;=1,Diccionario!$M$2,Diccionario!$M$3)</f>
        <v>1.4999999999999999E-2</v>
      </c>
      <c r="AE124" s="93">
        <f t="shared" si="39"/>
        <v>4.1406369609475746E-5</v>
      </c>
      <c r="AF124">
        <f t="shared" si="40"/>
        <v>0</v>
      </c>
      <c r="AG124" s="5">
        <f t="shared" si="41"/>
        <v>3650</v>
      </c>
      <c r="AH124">
        <f t="shared" si="42"/>
        <v>365</v>
      </c>
      <c r="AI124">
        <f t="shared" si="43"/>
        <v>1779.0468468185993</v>
      </c>
      <c r="AJ124" s="4">
        <f t="shared" si="44"/>
        <v>1.4999999999999999E-2</v>
      </c>
      <c r="AK124">
        <f>IF(Z124&lt;=3,Diccionario!$O$2,IF(Z124=4,Diccionario!$O$5,Diccionario!$O$6))</f>
        <v>0.66499985814979368</v>
      </c>
      <c r="AL124">
        <f t="shared" si="45"/>
        <v>1</v>
      </c>
      <c r="AM124" s="3">
        <f t="shared" si="29"/>
        <v>71211.240000000005</v>
      </c>
      <c r="AN124" s="95">
        <f>MIN(AJ124*AK124*AM124*(1+'[2]Pesos escenarios'!$F$8/2),AM124)</f>
        <v>946.74516119029363</v>
      </c>
      <c r="AO124" t="str">
        <f>IFERROR(VLOOKUP(A124,Diccionario!$C$2:$E$65,3,FALSE),"no")</f>
        <v>Tarjetas_de_Crédito</v>
      </c>
    </row>
    <row r="125" spans="1:41" x14ac:dyDescent="0.35">
      <c r="A125">
        <v>135742001</v>
      </c>
      <c r="B125">
        <v>2</v>
      </c>
      <c r="C125">
        <v>54516</v>
      </c>
      <c r="D125">
        <v>0</v>
      </c>
      <c r="E125">
        <v>0</v>
      </c>
      <c r="F125" s="1">
        <v>46142</v>
      </c>
      <c r="G125" s="1">
        <v>46142</v>
      </c>
      <c r="H125" s="1">
        <v>46126</v>
      </c>
      <c r="I125">
        <v>0</v>
      </c>
      <c r="J125">
        <v>0</v>
      </c>
      <c r="K125" s="11">
        <v>0</v>
      </c>
      <c r="L125">
        <v>0</v>
      </c>
      <c r="M125">
        <v>0</v>
      </c>
      <c r="N125" t="s">
        <v>92</v>
      </c>
      <c r="O125" t="s">
        <v>93</v>
      </c>
      <c r="P125">
        <v>999</v>
      </c>
      <c r="Q125" s="1" t="s">
        <v>94</v>
      </c>
      <c r="R125" s="12">
        <v>46126</v>
      </c>
      <c r="S125" s="12">
        <v>0</v>
      </c>
      <c r="T125" s="12">
        <v>-74109.58</v>
      </c>
      <c r="U125" s="12">
        <v>-53.66</v>
      </c>
      <c r="V125" s="12">
        <v>-53.66</v>
      </c>
      <c r="W125" s="12">
        <v>0</v>
      </c>
      <c r="X125" s="12">
        <v>0.54</v>
      </c>
      <c r="Y125" t="str">
        <f t="shared" si="28"/>
        <v>Sit.Normal</v>
      </c>
      <c r="Z125">
        <f t="shared" si="38"/>
        <v>1</v>
      </c>
      <c r="AB125">
        <f>VLOOKUP(A125,rubros_a_considerar!$A$2:$A$13,1,FALSE)</f>
        <v>135742001</v>
      </c>
      <c r="AC125" s="2">
        <f t="shared" si="20"/>
        <v>-74109.58</v>
      </c>
      <c r="AD125" s="4">
        <f>IF(Z125&lt;=1,Diccionario!$M$2,Diccionario!$M$3)</f>
        <v>1.4999999999999999E-2</v>
      </c>
      <c r="AE125" s="93">
        <f t="shared" si="39"/>
        <v>4.1406369609475746E-5</v>
      </c>
      <c r="AF125">
        <f t="shared" si="40"/>
        <v>0</v>
      </c>
      <c r="AG125" s="5">
        <f t="shared" si="41"/>
        <v>3650</v>
      </c>
      <c r="AH125">
        <f t="shared" si="42"/>
        <v>365</v>
      </c>
      <c r="AI125">
        <f t="shared" si="43"/>
        <v>1779.0468468185993</v>
      </c>
      <c r="AJ125" s="4">
        <f t="shared" si="44"/>
        <v>1.4999999999999999E-2</v>
      </c>
      <c r="AK125">
        <f>IF(Z125&lt;=3,Diccionario!$O$2,IF(Z125=4,Diccionario!$O$5,Diccionario!$O$6))</f>
        <v>0.66499985814979368</v>
      </c>
      <c r="AL125">
        <f t="shared" si="45"/>
        <v>1</v>
      </c>
      <c r="AM125" s="3">
        <f t="shared" si="29"/>
        <v>74109.58</v>
      </c>
      <c r="AN125" s="95">
        <f>MIN(AJ125*AK125*AM125*(1+'[2]Pesos escenarios'!$F$8/2),AM125)</f>
        <v>985.27825470873643</v>
      </c>
      <c r="AO125" t="str">
        <f>IFERROR(VLOOKUP(A125,Diccionario!$C$2:$E$65,3,FALSE),"no")</f>
        <v>Tarjetas_de_Crédito</v>
      </c>
    </row>
    <row r="126" spans="1:41" x14ac:dyDescent="0.35">
      <c r="A126">
        <v>131742001</v>
      </c>
      <c r="B126">
        <v>80</v>
      </c>
      <c r="C126">
        <v>87020</v>
      </c>
      <c r="D126">
        <v>0</v>
      </c>
      <c r="E126">
        <v>0</v>
      </c>
      <c r="F126" s="1">
        <v>46142</v>
      </c>
      <c r="G126" s="1">
        <v>46142</v>
      </c>
      <c r="H126" s="1">
        <v>45817</v>
      </c>
      <c r="I126">
        <v>0</v>
      </c>
      <c r="J126">
        <v>0</v>
      </c>
      <c r="K126" s="11">
        <v>101.99</v>
      </c>
      <c r="L126">
        <v>0</v>
      </c>
      <c r="M126">
        <v>0</v>
      </c>
      <c r="N126" t="s">
        <v>92</v>
      </c>
      <c r="O126" t="s">
        <v>93</v>
      </c>
      <c r="P126">
        <v>999</v>
      </c>
      <c r="Q126" s="1" t="s">
        <v>94</v>
      </c>
      <c r="R126" s="12">
        <v>45817</v>
      </c>
      <c r="S126" s="12">
        <v>0</v>
      </c>
      <c r="T126" s="12">
        <v>-76463.12</v>
      </c>
      <c r="U126" s="12">
        <v>-55.36</v>
      </c>
      <c r="V126" s="12">
        <v>-76463.12</v>
      </c>
      <c r="W126" s="12">
        <v>0</v>
      </c>
      <c r="X126" s="12">
        <v>764.63</v>
      </c>
      <c r="Y126" t="str">
        <f t="shared" si="28"/>
        <v>Sit.Normal</v>
      </c>
      <c r="Z126">
        <f t="shared" si="38"/>
        <v>1</v>
      </c>
      <c r="AB126">
        <f>VLOOKUP(A126,rubros_a_considerar!$A$2:$A$13,1,FALSE)</f>
        <v>131742001</v>
      </c>
      <c r="AC126" s="2">
        <f t="shared" si="20"/>
        <v>-76463.12</v>
      </c>
      <c r="AD126" s="4">
        <f>IF(Z126&lt;=1,Diccionario!$M$2,Diccionario!$M$3)</f>
        <v>1.4999999999999999E-2</v>
      </c>
      <c r="AE126" s="93">
        <f t="shared" si="39"/>
        <v>4.1406369609475746E-5</v>
      </c>
      <c r="AF126">
        <f t="shared" si="40"/>
        <v>0</v>
      </c>
      <c r="AG126" s="5">
        <f t="shared" si="41"/>
        <v>3650</v>
      </c>
      <c r="AH126">
        <f t="shared" si="42"/>
        <v>365</v>
      </c>
      <c r="AI126">
        <f t="shared" si="43"/>
        <v>1779.0468468185993</v>
      </c>
      <c r="AJ126" s="4">
        <f t="shared" si="44"/>
        <v>1.4999999999999999E-2</v>
      </c>
      <c r="AK126">
        <f>IF(Z126&lt;=3,Diccionario!$O$2,IF(Z126=4,Diccionario!$O$5,Diccionario!$O$6))</f>
        <v>0.66499985814979368</v>
      </c>
      <c r="AL126">
        <f t="shared" si="45"/>
        <v>1</v>
      </c>
      <c r="AM126" s="3">
        <f t="shared" si="29"/>
        <v>76463.12</v>
      </c>
      <c r="AN126" s="95">
        <f>MIN(AJ126*AK126*AM126*(1+'[2]Pesos escenarios'!$F$8/2),AM126)</f>
        <v>1016.5682955318958</v>
      </c>
      <c r="AO126" t="str">
        <f>IFERROR(VLOOKUP(A126,Diccionario!$C$2:$E$65,3,FALSE),"no")</f>
        <v>Tarjetas_de_Crédito</v>
      </c>
    </row>
    <row r="127" spans="1:41" x14ac:dyDescent="0.35">
      <c r="A127">
        <v>131742001</v>
      </c>
      <c r="B127">
        <v>80</v>
      </c>
      <c r="C127">
        <v>59859</v>
      </c>
      <c r="D127">
        <v>0</v>
      </c>
      <c r="E127">
        <v>0</v>
      </c>
      <c r="F127" s="1">
        <v>46142</v>
      </c>
      <c r="G127" s="1">
        <v>46142</v>
      </c>
      <c r="H127" s="1">
        <v>41382</v>
      </c>
      <c r="I127">
        <v>0</v>
      </c>
      <c r="J127">
        <v>0</v>
      </c>
      <c r="K127" s="11">
        <v>101.99</v>
      </c>
      <c r="L127">
        <v>0</v>
      </c>
      <c r="M127">
        <v>0</v>
      </c>
      <c r="N127" t="s">
        <v>92</v>
      </c>
      <c r="O127" t="s">
        <v>93</v>
      </c>
      <c r="P127">
        <v>691</v>
      </c>
      <c r="Q127" s="1" t="s">
        <v>94</v>
      </c>
      <c r="R127" s="12">
        <v>41382</v>
      </c>
      <c r="S127" s="12">
        <v>0</v>
      </c>
      <c r="T127" s="12">
        <v>-91971.35</v>
      </c>
      <c r="U127" s="12">
        <v>-66.59</v>
      </c>
      <c r="V127" s="12">
        <v>-91971.35</v>
      </c>
      <c r="W127" s="12">
        <v>0</v>
      </c>
      <c r="X127" s="12">
        <v>919.71</v>
      </c>
      <c r="Y127" t="str">
        <f t="shared" si="28"/>
        <v>Sit.Normal</v>
      </c>
      <c r="Z127">
        <f t="shared" si="38"/>
        <v>1</v>
      </c>
      <c r="AB127">
        <f>VLOOKUP(A127,rubros_a_considerar!$A$2:$A$13,1,FALSE)</f>
        <v>131742001</v>
      </c>
      <c r="AC127" s="2">
        <f t="shared" si="20"/>
        <v>-91971.35</v>
      </c>
      <c r="AD127" s="4">
        <f>IF(Z127&lt;=1,Diccionario!$M$2,Diccionario!$M$3)</f>
        <v>1.4999999999999999E-2</v>
      </c>
      <c r="AE127" s="93">
        <f t="shared" si="39"/>
        <v>4.1406369609475746E-5</v>
      </c>
      <c r="AF127">
        <f t="shared" si="40"/>
        <v>0</v>
      </c>
      <c r="AG127" s="5">
        <f t="shared" si="41"/>
        <v>3650</v>
      </c>
      <c r="AH127">
        <f t="shared" si="42"/>
        <v>365</v>
      </c>
      <c r="AI127">
        <f t="shared" si="43"/>
        <v>1779.0468468185993</v>
      </c>
      <c r="AJ127" s="4">
        <f t="shared" si="44"/>
        <v>1.4999999999999999E-2</v>
      </c>
      <c r="AK127">
        <f>IF(Z127&lt;=3,Diccionario!$O$2,IF(Z127=4,Diccionario!$O$5,Diccionario!$O$6))</f>
        <v>0.66499985814979368</v>
      </c>
      <c r="AL127">
        <f t="shared" si="45"/>
        <v>1</v>
      </c>
      <c r="AM127" s="3">
        <f t="shared" si="29"/>
        <v>91971.35</v>
      </c>
      <c r="AN127" s="95">
        <f>MIN(AJ127*AK127*AM127*(1+'[2]Pesos escenarios'!$F$8/2),AM127)</f>
        <v>1222.7484113552709</v>
      </c>
      <c r="AO127" t="str">
        <f>IFERROR(VLOOKUP(A127,Diccionario!$C$2:$E$65,3,FALSE),"no")</f>
        <v>Tarjetas_de_Crédito</v>
      </c>
    </row>
    <row r="128" spans="1:41" x14ac:dyDescent="0.35">
      <c r="A128">
        <v>135742001</v>
      </c>
      <c r="B128">
        <v>2</v>
      </c>
      <c r="C128">
        <v>87020</v>
      </c>
      <c r="D128">
        <v>0</v>
      </c>
      <c r="E128">
        <v>0</v>
      </c>
      <c r="F128" s="1">
        <v>46142</v>
      </c>
      <c r="G128" s="1">
        <v>46142</v>
      </c>
      <c r="H128" s="1">
        <v>45758</v>
      </c>
      <c r="I128">
        <v>0</v>
      </c>
      <c r="J128">
        <v>0</v>
      </c>
      <c r="K128" s="11">
        <v>0</v>
      </c>
      <c r="L128">
        <v>0</v>
      </c>
      <c r="M128">
        <v>0</v>
      </c>
      <c r="N128" t="s">
        <v>92</v>
      </c>
      <c r="O128" t="s">
        <v>93</v>
      </c>
      <c r="P128">
        <v>999</v>
      </c>
      <c r="Q128" s="1" t="s">
        <v>94</v>
      </c>
      <c r="R128" s="12">
        <v>45758</v>
      </c>
      <c r="S128" s="12">
        <v>0</v>
      </c>
      <c r="T128" s="12">
        <v>-115418.14</v>
      </c>
      <c r="U128" s="12">
        <v>-83.57</v>
      </c>
      <c r="V128" s="12">
        <v>-83.57</v>
      </c>
      <c r="W128" s="12">
        <v>0</v>
      </c>
      <c r="X128" s="12">
        <v>0.84</v>
      </c>
      <c r="Y128" t="str">
        <f t="shared" si="28"/>
        <v>Sit.Normal</v>
      </c>
      <c r="Z128">
        <f t="shared" si="38"/>
        <v>1</v>
      </c>
      <c r="AB128">
        <f>VLOOKUP(A128,rubros_a_considerar!$A$2:$A$13,1,FALSE)</f>
        <v>135742001</v>
      </c>
      <c r="AC128" s="2">
        <f t="shared" si="20"/>
        <v>-115418.14</v>
      </c>
      <c r="AD128" s="4">
        <f>IF(Z128&lt;=1,Diccionario!$M$2,Diccionario!$M$3)</f>
        <v>1.4999999999999999E-2</v>
      </c>
      <c r="AE128" s="93">
        <f t="shared" si="39"/>
        <v>4.1406369609475746E-5</v>
      </c>
      <c r="AF128">
        <f t="shared" si="40"/>
        <v>0</v>
      </c>
      <c r="AG128" s="5">
        <f t="shared" si="41"/>
        <v>3650</v>
      </c>
      <c r="AH128">
        <f t="shared" si="42"/>
        <v>365</v>
      </c>
      <c r="AI128">
        <f t="shared" si="43"/>
        <v>1779.0468468185993</v>
      </c>
      <c r="AJ128" s="4">
        <f t="shared" si="44"/>
        <v>1.4999999999999999E-2</v>
      </c>
      <c r="AK128">
        <f>IF(Z128&lt;=3,Diccionario!$O$2,IF(Z128=4,Diccionario!$O$5,Diccionario!$O$6))</f>
        <v>0.66499985814979368</v>
      </c>
      <c r="AL128">
        <f t="shared" si="45"/>
        <v>1</v>
      </c>
      <c r="AM128" s="3">
        <f t="shared" si="29"/>
        <v>115418.14</v>
      </c>
      <c r="AN128" s="95">
        <f>MIN(AJ128*AK128*AM128*(1+'[2]Pesos escenarios'!$F$8/2),AM128)</f>
        <v>1534.4707599331773</v>
      </c>
      <c r="AO128" t="str">
        <f>IFERROR(VLOOKUP(A128,Diccionario!$C$2:$E$65,3,FALSE),"no")</f>
        <v>Tarjetas_de_Crédito</v>
      </c>
    </row>
    <row r="129" spans="1:41" x14ac:dyDescent="0.35">
      <c r="A129">
        <v>131742001</v>
      </c>
      <c r="B129">
        <v>80</v>
      </c>
      <c r="C129">
        <v>58781</v>
      </c>
      <c r="D129">
        <v>0</v>
      </c>
      <c r="E129">
        <v>0</v>
      </c>
      <c r="F129" s="1">
        <v>46142</v>
      </c>
      <c r="G129" s="1">
        <v>46142</v>
      </c>
      <c r="H129" s="1">
        <v>46136</v>
      </c>
      <c r="I129">
        <v>0</v>
      </c>
      <c r="J129">
        <v>0</v>
      </c>
      <c r="K129" s="11">
        <v>101.99</v>
      </c>
      <c r="L129">
        <v>0</v>
      </c>
      <c r="M129">
        <v>0</v>
      </c>
      <c r="N129" t="s">
        <v>92</v>
      </c>
      <c r="O129" t="s">
        <v>93</v>
      </c>
      <c r="P129">
        <v>990</v>
      </c>
      <c r="Q129" s="1" t="s">
        <v>95</v>
      </c>
      <c r="R129" s="12">
        <v>46136</v>
      </c>
      <c r="S129" s="12">
        <v>0</v>
      </c>
      <c r="T129" s="12">
        <v>-135183.32999999999</v>
      </c>
      <c r="U129" s="12">
        <v>-97.88</v>
      </c>
      <c r="V129" s="12">
        <v>-135183.32999999999</v>
      </c>
      <c r="W129" s="12">
        <v>0</v>
      </c>
      <c r="X129" s="12">
        <v>1351.83</v>
      </c>
      <c r="Y129" t="str">
        <f t="shared" si="28"/>
        <v>Sit.Normal</v>
      </c>
      <c r="Z129">
        <f t="shared" si="38"/>
        <v>1</v>
      </c>
      <c r="AB129">
        <f>VLOOKUP(A129,rubros_a_considerar!$A$2:$A$13,1,FALSE)</f>
        <v>131742001</v>
      </c>
      <c r="AC129" s="2">
        <f t="shared" si="20"/>
        <v>-135183.32999999999</v>
      </c>
      <c r="AD129" s="4">
        <f>IF(Z129&lt;=1,Diccionario!$M$2,Diccionario!$M$3)</f>
        <v>1.4999999999999999E-2</v>
      </c>
      <c r="AE129" s="93">
        <f t="shared" si="39"/>
        <v>4.1406369609475746E-5</v>
      </c>
      <c r="AF129">
        <f t="shared" si="40"/>
        <v>0</v>
      </c>
      <c r="AG129" s="5">
        <f t="shared" si="41"/>
        <v>3650</v>
      </c>
      <c r="AH129">
        <f t="shared" si="42"/>
        <v>365</v>
      </c>
      <c r="AI129">
        <f t="shared" si="43"/>
        <v>1779.0468468185993</v>
      </c>
      <c r="AJ129" s="4">
        <f t="shared" si="44"/>
        <v>1.4999999999999999E-2</v>
      </c>
      <c r="AK129">
        <f>IF(Z129&lt;=3,Diccionario!$O$2,IF(Z129=4,Diccionario!$O$5,Diccionario!$O$6))</f>
        <v>0.66499985814979368</v>
      </c>
      <c r="AL129">
        <f t="shared" si="45"/>
        <v>1</v>
      </c>
      <c r="AM129" s="3">
        <f t="shared" si="29"/>
        <v>135183.32999999999</v>
      </c>
      <c r="AN129" s="95">
        <f>MIN(AJ129*AK129*AM129*(1+'[2]Pesos escenarios'!$F$8/2),AM129)</f>
        <v>1797.2466643059527</v>
      </c>
      <c r="AO129" t="str">
        <f>IFERROR(VLOOKUP(A129,Diccionario!$C$2:$E$65,3,FALSE),"no")</f>
        <v>Tarjetas_de_Crédito</v>
      </c>
    </row>
    <row r="130" spans="1:41" x14ac:dyDescent="0.35">
      <c r="A130">
        <v>131742001</v>
      </c>
      <c r="B130">
        <v>80</v>
      </c>
      <c r="C130">
        <v>17980</v>
      </c>
      <c r="D130">
        <v>0</v>
      </c>
      <c r="E130">
        <v>0</v>
      </c>
      <c r="F130" s="1">
        <v>46142</v>
      </c>
      <c r="G130" s="1">
        <v>46142</v>
      </c>
      <c r="H130" s="1">
        <v>45628</v>
      </c>
      <c r="I130">
        <v>0</v>
      </c>
      <c r="J130">
        <v>0</v>
      </c>
      <c r="K130" s="11">
        <v>101.99</v>
      </c>
      <c r="L130">
        <v>0</v>
      </c>
      <c r="M130">
        <v>0</v>
      </c>
      <c r="N130" t="s">
        <v>92</v>
      </c>
      <c r="O130" t="s">
        <v>93</v>
      </c>
      <c r="P130">
        <v>0</v>
      </c>
      <c r="Q130" s="1" t="s">
        <v>94</v>
      </c>
      <c r="R130" s="12">
        <v>45628</v>
      </c>
      <c r="S130" s="12">
        <v>0</v>
      </c>
      <c r="T130" s="12">
        <v>-144000</v>
      </c>
      <c r="U130" s="12">
        <v>-104.27</v>
      </c>
      <c r="V130" s="12">
        <v>-144000</v>
      </c>
      <c r="W130" s="12">
        <v>0</v>
      </c>
      <c r="X130" s="12">
        <v>1440</v>
      </c>
      <c r="Y130" t="str">
        <f t="shared" si="28"/>
        <v>Sit.Normal</v>
      </c>
      <c r="Z130">
        <f t="shared" si="38"/>
        <v>1</v>
      </c>
      <c r="AB130">
        <f>VLOOKUP(A130,rubros_a_considerar!$A$2:$A$13,1,FALSE)</f>
        <v>131742001</v>
      </c>
      <c r="AC130" s="2">
        <f t="shared" ref="AC130:AC156" si="46">T130+W130</f>
        <v>-144000</v>
      </c>
      <c r="AD130" s="4">
        <f>IF(Z130&lt;=1,Diccionario!$M$2,Diccionario!$M$3)</f>
        <v>1.4999999999999999E-2</v>
      </c>
      <c r="AE130" s="93">
        <f t="shared" si="39"/>
        <v>4.1406369609475746E-5</v>
      </c>
      <c r="AF130">
        <f t="shared" si="40"/>
        <v>0</v>
      </c>
      <c r="AG130" s="5">
        <f t="shared" si="41"/>
        <v>3650</v>
      </c>
      <c r="AH130">
        <f t="shared" si="42"/>
        <v>365</v>
      </c>
      <c r="AI130">
        <f t="shared" si="43"/>
        <v>1779.0468468185993</v>
      </c>
      <c r="AJ130" s="4">
        <f t="shared" si="44"/>
        <v>1.4999999999999999E-2</v>
      </c>
      <c r="AK130">
        <f>IF(Z130&lt;=3,Diccionario!$O$2,IF(Z130=4,Diccionario!$O$5,Diccionario!$O$6))</f>
        <v>0.66499985814979368</v>
      </c>
      <c r="AL130">
        <f t="shared" si="45"/>
        <v>1</v>
      </c>
      <c r="AM130" s="3">
        <f t="shared" si="29"/>
        <v>144000</v>
      </c>
      <c r="AN130" s="95">
        <f>MIN(AJ130*AK130*AM130*(1+'[2]Pesos escenarios'!$F$8/2),AM130)</f>
        <v>1914.4632674757845</v>
      </c>
      <c r="AO130" t="str">
        <f>IFERROR(VLOOKUP(A130,Diccionario!$C$2:$E$65,3,FALSE),"no")</f>
        <v>Tarjetas_de_Crédito</v>
      </c>
    </row>
    <row r="131" spans="1:41" x14ac:dyDescent="0.35">
      <c r="A131">
        <v>131742001</v>
      </c>
      <c r="B131">
        <v>80</v>
      </c>
      <c r="C131">
        <v>131</v>
      </c>
      <c r="D131">
        <v>0</v>
      </c>
      <c r="E131">
        <v>0</v>
      </c>
      <c r="F131" s="1">
        <v>46142</v>
      </c>
      <c r="G131" s="1">
        <v>46142</v>
      </c>
      <c r="H131" s="1">
        <v>45673</v>
      </c>
      <c r="I131">
        <v>0</v>
      </c>
      <c r="J131">
        <v>0</v>
      </c>
      <c r="K131" s="11">
        <v>101.99</v>
      </c>
      <c r="L131">
        <v>0</v>
      </c>
      <c r="M131">
        <v>0</v>
      </c>
      <c r="N131" t="s">
        <v>92</v>
      </c>
      <c r="O131" t="s">
        <v>93</v>
      </c>
      <c r="P131">
        <v>999</v>
      </c>
      <c r="Q131" s="1" t="s">
        <v>94</v>
      </c>
      <c r="R131" s="12">
        <v>45673</v>
      </c>
      <c r="S131" s="12">
        <v>0</v>
      </c>
      <c r="T131" s="12">
        <v>-192241.56</v>
      </c>
      <c r="U131" s="12">
        <v>-139.19</v>
      </c>
      <c r="V131" s="12">
        <v>-192241.56</v>
      </c>
      <c r="W131" s="12">
        <v>0</v>
      </c>
      <c r="X131" s="12">
        <v>1922.42</v>
      </c>
      <c r="Y131" t="str">
        <f t="shared" ref="Y131:Y156" si="47">TRIM(O131)</f>
        <v>Sit.Normal</v>
      </c>
      <c r="Z131">
        <f t="shared" si="38"/>
        <v>1</v>
      </c>
      <c r="AB131">
        <f>VLOOKUP(A131,rubros_a_considerar!$A$2:$A$13,1,FALSE)</f>
        <v>131742001</v>
      </c>
      <c r="AC131" s="2">
        <f t="shared" si="46"/>
        <v>-192241.56</v>
      </c>
      <c r="AD131" s="4">
        <f>IF(Z131&lt;=1,Diccionario!$M$2,Diccionario!$M$3)</f>
        <v>1.4999999999999999E-2</v>
      </c>
      <c r="AE131" s="93">
        <f t="shared" si="39"/>
        <v>4.1406369609475746E-5</v>
      </c>
      <c r="AF131">
        <f t="shared" si="40"/>
        <v>0</v>
      </c>
      <c r="AG131" s="5">
        <f t="shared" si="41"/>
        <v>3650</v>
      </c>
      <c r="AH131">
        <f t="shared" si="42"/>
        <v>365</v>
      </c>
      <c r="AI131">
        <f t="shared" si="43"/>
        <v>1779.0468468185993</v>
      </c>
      <c r="AJ131" s="4">
        <f t="shared" si="44"/>
        <v>1.4999999999999999E-2</v>
      </c>
      <c r="AK131">
        <f>IF(Z131&lt;=3,Diccionario!$O$2,IF(Z131=4,Diccionario!$O$5,Diccionario!$O$6))</f>
        <v>0.66499985814979368</v>
      </c>
      <c r="AL131">
        <f t="shared" si="45"/>
        <v>1</v>
      </c>
      <c r="AM131" s="3">
        <f t="shared" ref="AM131:AM156" si="48">+IF(AC131&lt;0,-AC131,0)</f>
        <v>192241.56</v>
      </c>
      <c r="AN131" s="95">
        <f>MIN(AJ131*AK131*AM131*(1+'[2]Pesos escenarios'!$F$8/2),AM131)</f>
        <v>2555.8292020989034</v>
      </c>
      <c r="AO131" t="str">
        <f>IFERROR(VLOOKUP(A131,Diccionario!$C$2:$E$65,3,FALSE),"no")</f>
        <v>Tarjetas_de_Crédito</v>
      </c>
    </row>
    <row r="132" spans="1:41" x14ac:dyDescent="0.35">
      <c r="A132">
        <v>131742001</v>
      </c>
      <c r="B132">
        <v>80</v>
      </c>
      <c r="C132">
        <v>85773</v>
      </c>
      <c r="D132">
        <v>0</v>
      </c>
      <c r="E132">
        <v>0</v>
      </c>
      <c r="F132" s="1">
        <v>46142</v>
      </c>
      <c r="G132" s="1">
        <v>46142</v>
      </c>
      <c r="H132" s="1">
        <v>43186</v>
      </c>
      <c r="I132">
        <v>0</v>
      </c>
      <c r="J132">
        <v>0</v>
      </c>
      <c r="K132" s="11">
        <v>101.99</v>
      </c>
      <c r="L132">
        <v>0</v>
      </c>
      <c r="M132">
        <v>0</v>
      </c>
      <c r="N132" t="s">
        <v>92</v>
      </c>
      <c r="O132" t="s">
        <v>93</v>
      </c>
      <c r="P132">
        <v>999</v>
      </c>
      <c r="Q132" s="1" t="s">
        <v>94</v>
      </c>
      <c r="R132" s="12">
        <v>43186</v>
      </c>
      <c r="S132" s="12">
        <v>0</v>
      </c>
      <c r="T132" s="12">
        <v>-196446.23</v>
      </c>
      <c r="U132" s="12">
        <v>-142.24</v>
      </c>
      <c r="V132" s="12">
        <v>-196446.23</v>
      </c>
      <c r="W132" s="12">
        <v>0</v>
      </c>
      <c r="X132" s="12">
        <v>1964.46</v>
      </c>
      <c r="Y132" t="str">
        <f t="shared" si="47"/>
        <v>Sit.Normal</v>
      </c>
      <c r="Z132">
        <f t="shared" si="38"/>
        <v>1</v>
      </c>
      <c r="AB132">
        <f>VLOOKUP(A132,rubros_a_considerar!$A$2:$A$13,1,FALSE)</f>
        <v>131742001</v>
      </c>
      <c r="AC132" s="2">
        <f t="shared" si="46"/>
        <v>-196446.23</v>
      </c>
      <c r="AD132" s="4">
        <f>IF(Z132&lt;=1,Diccionario!$M$2,Diccionario!$M$3)</f>
        <v>1.4999999999999999E-2</v>
      </c>
      <c r="AE132" s="93">
        <f t="shared" si="39"/>
        <v>4.1406369609475746E-5</v>
      </c>
      <c r="AF132">
        <f t="shared" si="40"/>
        <v>0</v>
      </c>
      <c r="AG132" s="5">
        <f t="shared" si="41"/>
        <v>3650</v>
      </c>
      <c r="AH132">
        <f t="shared" si="42"/>
        <v>365</v>
      </c>
      <c r="AI132">
        <f t="shared" si="43"/>
        <v>1779.0468468185993</v>
      </c>
      <c r="AJ132" s="4">
        <f t="shared" si="44"/>
        <v>1.4999999999999999E-2</v>
      </c>
      <c r="AK132">
        <f>IF(Z132&lt;=3,Diccionario!$O$2,IF(Z132=4,Diccionario!$O$5,Diccionario!$O$6))</f>
        <v>0.66499985814979368</v>
      </c>
      <c r="AL132">
        <f t="shared" si="45"/>
        <v>1</v>
      </c>
      <c r="AM132" s="3">
        <f t="shared" si="48"/>
        <v>196446.23</v>
      </c>
      <c r="AN132" s="95">
        <f>MIN(AJ132*AK132*AM132*(1+'[2]Pesos escenarios'!$F$8/2),AM132)</f>
        <v>2611.7298011743019</v>
      </c>
      <c r="AO132" t="str">
        <f>IFERROR(VLOOKUP(A132,Diccionario!$C$2:$E$65,3,FALSE),"no")</f>
        <v>Tarjetas_de_Crédito</v>
      </c>
    </row>
    <row r="133" spans="1:41" x14ac:dyDescent="0.35">
      <c r="A133">
        <v>131742001</v>
      </c>
      <c r="B133">
        <v>80</v>
      </c>
      <c r="C133">
        <v>54864</v>
      </c>
      <c r="D133">
        <v>0</v>
      </c>
      <c r="E133">
        <v>0</v>
      </c>
      <c r="F133" s="1">
        <v>46142</v>
      </c>
      <c r="G133" s="1">
        <v>46142</v>
      </c>
      <c r="H133" s="1">
        <v>40326</v>
      </c>
      <c r="I133">
        <v>0</v>
      </c>
      <c r="J133">
        <v>0</v>
      </c>
      <c r="K133" s="11">
        <v>101.99</v>
      </c>
      <c r="L133">
        <v>0</v>
      </c>
      <c r="M133">
        <v>0</v>
      </c>
      <c r="N133" t="s">
        <v>92</v>
      </c>
      <c r="O133" t="s">
        <v>93</v>
      </c>
      <c r="P133">
        <v>999</v>
      </c>
      <c r="Q133" s="1" t="s">
        <v>94</v>
      </c>
      <c r="R133" s="12">
        <v>40326</v>
      </c>
      <c r="S133" s="12">
        <v>0</v>
      </c>
      <c r="T133" s="12">
        <v>-196584.53</v>
      </c>
      <c r="U133" s="12">
        <v>-142.34</v>
      </c>
      <c r="V133" s="12">
        <v>-196584.53</v>
      </c>
      <c r="W133" s="12">
        <v>0</v>
      </c>
      <c r="X133" s="12">
        <v>1965.85</v>
      </c>
      <c r="Y133" t="str">
        <f t="shared" si="47"/>
        <v>Sit.Normal</v>
      </c>
      <c r="Z133">
        <f t="shared" si="38"/>
        <v>1</v>
      </c>
      <c r="AB133">
        <f>VLOOKUP(A133,rubros_a_considerar!$A$2:$A$13,1,FALSE)</f>
        <v>131742001</v>
      </c>
      <c r="AC133" s="2">
        <f t="shared" si="46"/>
        <v>-196584.53</v>
      </c>
      <c r="AD133" s="4">
        <f>IF(Z133&lt;=1,Diccionario!$M$2,Diccionario!$M$3)</f>
        <v>1.4999999999999999E-2</v>
      </c>
      <c r="AE133" s="93">
        <f t="shared" si="39"/>
        <v>4.1406369609475746E-5</v>
      </c>
      <c r="AF133">
        <f t="shared" si="40"/>
        <v>0</v>
      </c>
      <c r="AG133" s="5">
        <f t="shared" si="41"/>
        <v>3650</v>
      </c>
      <c r="AH133">
        <f t="shared" si="42"/>
        <v>365</v>
      </c>
      <c r="AI133">
        <f t="shared" si="43"/>
        <v>1779.0468468185993</v>
      </c>
      <c r="AJ133" s="4">
        <f t="shared" si="44"/>
        <v>1.4999999999999999E-2</v>
      </c>
      <c r="AK133">
        <f>IF(Z133&lt;=3,Diccionario!$O$2,IF(Z133=4,Diccionario!$O$5,Diccionario!$O$6))</f>
        <v>0.66499985814979368</v>
      </c>
      <c r="AL133">
        <f t="shared" si="45"/>
        <v>1</v>
      </c>
      <c r="AM133" s="3">
        <f t="shared" si="48"/>
        <v>196584.53</v>
      </c>
      <c r="AN133" s="95">
        <f>MIN(AJ133*AK133*AM133*(1+'[2]Pesos escenarios'!$F$8/2),AM133)</f>
        <v>2613.5684836041069</v>
      </c>
      <c r="AO133" t="str">
        <f>IFERROR(VLOOKUP(A133,Diccionario!$C$2:$E$65,3,FALSE),"no")</f>
        <v>Tarjetas_de_Crédito</v>
      </c>
    </row>
    <row r="134" spans="1:41" x14ac:dyDescent="0.35">
      <c r="A134">
        <v>135742001</v>
      </c>
      <c r="B134">
        <v>2</v>
      </c>
      <c r="C134">
        <v>59128</v>
      </c>
      <c r="D134">
        <v>0</v>
      </c>
      <c r="E134">
        <v>0</v>
      </c>
      <c r="F134" s="1">
        <v>46142</v>
      </c>
      <c r="G134" s="1">
        <v>46142</v>
      </c>
      <c r="H134" s="1">
        <v>46092</v>
      </c>
      <c r="I134">
        <v>0</v>
      </c>
      <c r="J134">
        <v>0</v>
      </c>
      <c r="K134" s="11">
        <v>0</v>
      </c>
      <c r="L134">
        <v>0</v>
      </c>
      <c r="M134">
        <v>0</v>
      </c>
      <c r="N134" t="s">
        <v>92</v>
      </c>
      <c r="O134" t="s">
        <v>93</v>
      </c>
      <c r="P134">
        <v>999</v>
      </c>
      <c r="Q134" s="1" t="s">
        <v>94</v>
      </c>
      <c r="R134" s="12">
        <v>46092</v>
      </c>
      <c r="S134" s="12">
        <v>0</v>
      </c>
      <c r="T134" s="12">
        <v>-197441.4</v>
      </c>
      <c r="U134" s="12">
        <v>-142.96</v>
      </c>
      <c r="V134" s="12">
        <v>-142.96</v>
      </c>
      <c r="W134" s="12">
        <v>0</v>
      </c>
      <c r="X134" s="12">
        <v>1.43</v>
      </c>
      <c r="Y134" t="str">
        <f t="shared" si="47"/>
        <v>Sit.Normal</v>
      </c>
      <c r="Z134">
        <f t="shared" si="38"/>
        <v>1</v>
      </c>
      <c r="AB134">
        <f>VLOOKUP(A134,rubros_a_considerar!$A$2:$A$13,1,FALSE)</f>
        <v>135742001</v>
      </c>
      <c r="AC134" s="2">
        <f t="shared" si="46"/>
        <v>-197441.4</v>
      </c>
      <c r="AD134" s="4">
        <f>IF(Z134&lt;=1,Diccionario!$M$2,Diccionario!$M$3)</f>
        <v>1.4999999999999999E-2</v>
      </c>
      <c r="AE134" s="93">
        <f t="shared" si="39"/>
        <v>4.1406369609475746E-5</v>
      </c>
      <c r="AF134">
        <f t="shared" si="40"/>
        <v>0</v>
      </c>
      <c r="AG134" s="5">
        <f t="shared" si="41"/>
        <v>3650</v>
      </c>
      <c r="AH134">
        <f t="shared" si="42"/>
        <v>365</v>
      </c>
      <c r="AI134">
        <f t="shared" si="43"/>
        <v>1779.0468468185993</v>
      </c>
      <c r="AJ134" s="4">
        <f t="shared" si="44"/>
        <v>1.4999999999999999E-2</v>
      </c>
      <c r="AK134">
        <f>IF(Z134&lt;=3,Diccionario!$O$2,IF(Z134=4,Diccionario!$O$5,Diccionario!$O$6))</f>
        <v>0.66499985814979368</v>
      </c>
      <c r="AL134">
        <f t="shared" si="45"/>
        <v>1</v>
      </c>
      <c r="AM134" s="3">
        <f t="shared" si="48"/>
        <v>197441.4</v>
      </c>
      <c r="AN134" s="95">
        <f>MIN(AJ134*AK134*AM134*(1+'[2]Pesos escenarios'!$F$8/2),AM134)</f>
        <v>2624.9604706874538</v>
      </c>
      <c r="AO134" t="str">
        <f>IFERROR(VLOOKUP(A134,Diccionario!$C$2:$E$65,3,FALSE),"no")</f>
        <v>Tarjetas_de_Crédito</v>
      </c>
    </row>
    <row r="135" spans="1:41" x14ac:dyDescent="0.35">
      <c r="A135">
        <v>131742001</v>
      </c>
      <c r="B135">
        <v>80</v>
      </c>
      <c r="C135">
        <v>3833</v>
      </c>
      <c r="D135">
        <v>0</v>
      </c>
      <c r="E135">
        <v>0</v>
      </c>
      <c r="F135" s="1">
        <v>46142</v>
      </c>
      <c r="G135" s="1">
        <v>46142</v>
      </c>
      <c r="H135" s="1">
        <v>46135</v>
      </c>
      <c r="I135">
        <v>0</v>
      </c>
      <c r="J135">
        <v>0</v>
      </c>
      <c r="K135" s="11">
        <v>101.99</v>
      </c>
      <c r="L135">
        <v>0</v>
      </c>
      <c r="M135">
        <v>0</v>
      </c>
      <c r="N135" t="s">
        <v>92</v>
      </c>
      <c r="O135" t="s">
        <v>93</v>
      </c>
      <c r="P135">
        <v>999</v>
      </c>
      <c r="Q135" s="1" t="s">
        <v>94</v>
      </c>
      <c r="R135" s="12">
        <v>46135</v>
      </c>
      <c r="S135" s="12">
        <v>0</v>
      </c>
      <c r="T135" s="12">
        <v>-209497.1</v>
      </c>
      <c r="U135" s="12">
        <v>-151.69</v>
      </c>
      <c r="V135" s="12">
        <v>-209497.1</v>
      </c>
      <c r="W135" s="12">
        <v>0</v>
      </c>
      <c r="X135" s="12">
        <v>2094.9699999999998</v>
      </c>
      <c r="Y135" t="str">
        <f t="shared" si="47"/>
        <v>Sit.Normal</v>
      </c>
      <c r="Z135">
        <f t="shared" si="38"/>
        <v>1</v>
      </c>
      <c r="AB135">
        <f>VLOOKUP(A135,rubros_a_considerar!$A$2:$A$13,1,FALSE)</f>
        <v>131742001</v>
      </c>
      <c r="AC135" s="2">
        <f t="shared" si="46"/>
        <v>-209497.1</v>
      </c>
      <c r="AD135" s="4">
        <f>IF(Z135&lt;=1,Diccionario!$M$2,Diccionario!$M$3)</f>
        <v>1.4999999999999999E-2</v>
      </c>
      <c r="AE135" s="93">
        <f t="shared" si="39"/>
        <v>4.1406369609475746E-5</v>
      </c>
      <c r="AF135">
        <f t="shared" si="40"/>
        <v>0</v>
      </c>
      <c r="AG135" s="5">
        <f t="shared" si="41"/>
        <v>3650</v>
      </c>
      <c r="AH135">
        <f t="shared" si="42"/>
        <v>365</v>
      </c>
      <c r="AI135">
        <f t="shared" si="43"/>
        <v>1779.0468468185993</v>
      </c>
      <c r="AJ135" s="4">
        <f t="shared" si="44"/>
        <v>1.4999999999999999E-2</v>
      </c>
      <c r="AK135">
        <f>IF(Z135&lt;=3,Diccionario!$O$2,IF(Z135=4,Diccionario!$O$5,Diccionario!$O$6))</f>
        <v>0.66499985814979368</v>
      </c>
      <c r="AL135">
        <f t="shared" si="45"/>
        <v>1</v>
      </c>
      <c r="AM135" s="3">
        <f t="shared" si="48"/>
        <v>209497.1</v>
      </c>
      <c r="AN135" s="95">
        <f>MIN(AJ135*AK135*AM135*(1+'[2]Pesos escenarios'!$F$8/2),AM135)</f>
        <v>2785.2396013382031</v>
      </c>
      <c r="AO135" t="str">
        <f>IFERROR(VLOOKUP(A135,Diccionario!$C$2:$E$65,3,FALSE),"no")</f>
        <v>Tarjetas_de_Crédito</v>
      </c>
    </row>
    <row r="136" spans="1:41" x14ac:dyDescent="0.35">
      <c r="A136">
        <v>135742001</v>
      </c>
      <c r="B136">
        <v>2</v>
      </c>
      <c r="C136">
        <v>58781</v>
      </c>
      <c r="D136">
        <v>0</v>
      </c>
      <c r="E136">
        <v>0</v>
      </c>
      <c r="F136" s="1">
        <v>46142</v>
      </c>
      <c r="G136" s="1">
        <v>46142</v>
      </c>
      <c r="H136" s="1">
        <v>46132</v>
      </c>
      <c r="I136">
        <v>0</v>
      </c>
      <c r="J136">
        <v>0</v>
      </c>
      <c r="K136" s="11">
        <v>0</v>
      </c>
      <c r="L136">
        <v>0</v>
      </c>
      <c r="M136">
        <v>0</v>
      </c>
      <c r="N136" t="s">
        <v>92</v>
      </c>
      <c r="O136" t="s">
        <v>93</v>
      </c>
      <c r="P136">
        <v>990</v>
      </c>
      <c r="Q136" s="1" t="s">
        <v>95</v>
      </c>
      <c r="R136" s="12">
        <v>46132</v>
      </c>
      <c r="S136" s="12">
        <v>0</v>
      </c>
      <c r="T136" s="12">
        <v>-234648.11</v>
      </c>
      <c r="U136" s="12">
        <v>-169.9</v>
      </c>
      <c r="V136" s="12">
        <v>-169.9</v>
      </c>
      <c r="W136" s="12">
        <v>0</v>
      </c>
      <c r="X136" s="12">
        <v>1.7</v>
      </c>
      <c r="Y136" t="str">
        <f t="shared" si="47"/>
        <v>Sit.Normal</v>
      </c>
      <c r="Z136">
        <f t="shared" si="38"/>
        <v>1</v>
      </c>
      <c r="AB136">
        <f>VLOOKUP(A136,rubros_a_considerar!$A$2:$A$13,1,FALSE)</f>
        <v>135742001</v>
      </c>
      <c r="AC136" s="2">
        <f t="shared" si="46"/>
        <v>-234648.11</v>
      </c>
      <c r="AD136" s="4">
        <f>IF(Z136&lt;=1,Diccionario!$M$2,Diccionario!$M$3)</f>
        <v>1.4999999999999999E-2</v>
      </c>
      <c r="AE136" s="93">
        <f t="shared" si="39"/>
        <v>4.1406369609475746E-5</v>
      </c>
      <c r="AF136">
        <f t="shared" si="40"/>
        <v>0</v>
      </c>
      <c r="AG136" s="5">
        <f t="shared" si="41"/>
        <v>3650</v>
      </c>
      <c r="AH136">
        <f t="shared" si="42"/>
        <v>365</v>
      </c>
      <c r="AI136">
        <f t="shared" si="43"/>
        <v>1779.0468468185993</v>
      </c>
      <c r="AJ136" s="4">
        <f t="shared" si="44"/>
        <v>1.4999999999999999E-2</v>
      </c>
      <c r="AK136">
        <f>IF(Z136&lt;=3,Diccionario!$O$2,IF(Z136=4,Diccionario!$O$5,Diccionario!$O$6))</f>
        <v>0.66499985814979368</v>
      </c>
      <c r="AL136">
        <f t="shared" si="45"/>
        <v>1</v>
      </c>
      <c r="AM136" s="3">
        <f t="shared" si="48"/>
        <v>234648.11</v>
      </c>
      <c r="AN136" s="95">
        <f>MIN(AJ136*AK136*AM136*(1+'[2]Pesos escenarios'!$F$8/2),AM136)</f>
        <v>3119.6193567890091</v>
      </c>
      <c r="AO136" t="str">
        <f>IFERROR(VLOOKUP(A136,Diccionario!$C$2:$E$65,3,FALSE),"no")</f>
        <v>Tarjetas_de_Crédito</v>
      </c>
    </row>
    <row r="137" spans="1:41" x14ac:dyDescent="0.35">
      <c r="A137">
        <v>131742001</v>
      </c>
      <c r="B137">
        <v>80</v>
      </c>
      <c r="C137">
        <v>6206</v>
      </c>
      <c r="D137">
        <v>0</v>
      </c>
      <c r="E137">
        <v>0</v>
      </c>
      <c r="F137" s="1">
        <v>46142</v>
      </c>
      <c r="G137" s="1">
        <v>46142</v>
      </c>
      <c r="H137" s="1">
        <v>46133</v>
      </c>
      <c r="I137">
        <v>0</v>
      </c>
      <c r="J137">
        <v>0</v>
      </c>
      <c r="K137" s="11">
        <v>101.99</v>
      </c>
      <c r="L137">
        <v>0</v>
      </c>
      <c r="M137">
        <v>0</v>
      </c>
      <c r="N137" t="s">
        <v>92</v>
      </c>
      <c r="O137" t="s">
        <v>93</v>
      </c>
      <c r="P137">
        <v>466</v>
      </c>
      <c r="Q137" s="1" t="s">
        <v>95</v>
      </c>
      <c r="R137" s="12">
        <v>46133</v>
      </c>
      <c r="S137" s="12">
        <v>0</v>
      </c>
      <c r="T137" s="12">
        <v>-284551.76</v>
      </c>
      <c r="U137" s="12">
        <v>-206.03</v>
      </c>
      <c r="V137" s="12">
        <v>-284551.76</v>
      </c>
      <c r="W137" s="12">
        <v>0</v>
      </c>
      <c r="X137" s="12">
        <v>2845.52</v>
      </c>
      <c r="Y137" t="str">
        <f t="shared" si="47"/>
        <v>Sit.Normal</v>
      </c>
      <c r="Z137">
        <f t="shared" si="38"/>
        <v>1</v>
      </c>
      <c r="AB137">
        <f>VLOOKUP(A137,rubros_a_considerar!$A$2:$A$13,1,FALSE)</f>
        <v>131742001</v>
      </c>
      <c r="AC137" s="2">
        <f t="shared" si="46"/>
        <v>-284551.76</v>
      </c>
      <c r="AD137" s="4">
        <f>IF(Z137&lt;=1,Diccionario!$M$2,Diccionario!$M$3)</f>
        <v>1.4999999999999999E-2</v>
      </c>
      <c r="AE137" s="93">
        <f t="shared" si="39"/>
        <v>4.1406369609475746E-5</v>
      </c>
      <c r="AF137">
        <f t="shared" si="40"/>
        <v>0</v>
      </c>
      <c r="AG137" s="5">
        <f t="shared" si="41"/>
        <v>3650</v>
      </c>
      <c r="AH137">
        <f t="shared" si="42"/>
        <v>365</v>
      </c>
      <c r="AI137">
        <f t="shared" si="43"/>
        <v>1779.0468468185993</v>
      </c>
      <c r="AJ137" s="4">
        <f t="shared" si="44"/>
        <v>1.4999999999999999E-2</v>
      </c>
      <c r="AK137">
        <f>IF(Z137&lt;=3,Diccionario!$O$2,IF(Z137=4,Diccionario!$O$5,Diccionario!$O$6))</f>
        <v>0.66499985814979368</v>
      </c>
      <c r="AL137">
        <f t="shared" si="45"/>
        <v>1</v>
      </c>
      <c r="AM137" s="3">
        <f t="shared" si="48"/>
        <v>284551.76</v>
      </c>
      <c r="AN137" s="95">
        <f>MIN(AJ137*AK137*AM137*(1+'[2]Pesos escenarios'!$F$8/2),AM137)</f>
        <v>3783.082584830453</v>
      </c>
      <c r="AO137" t="str">
        <f>IFERROR(VLOOKUP(A137,Diccionario!$C$2:$E$65,3,FALSE),"no")</f>
        <v>Tarjetas_de_Crédito</v>
      </c>
    </row>
    <row r="138" spans="1:41" x14ac:dyDescent="0.35">
      <c r="A138">
        <v>131742001</v>
      </c>
      <c r="B138">
        <v>80</v>
      </c>
      <c r="C138">
        <v>59053</v>
      </c>
      <c r="D138">
        <v>0</v>
      </c>
      <c r="E138">
        <v>0</v>
      </c>
      <c r="F138" s="1">
        <v>46142</v>
      </c>
      <c r="G138" s="1">
        <v>46142</v>
      </c>
      <c r="H138" s="1">
        <v>45520</v>
      </c>
      <c r="I138">
        <v>0</v>
      </c>
      <c r="J138">
        <v>0</v>
      </c>
      <c r="K138" s="11">
        <v>101.99</v>
      </c>
      <c r="L138">
        <v>0</v>
      </c>
      <c r="M138">
        <v>0</v>
      </c>
      <c r="N138" t="s">
        <v>92</v>
      </c>
      <c r="O138" t="s">
        <v>93</v>
      </c>
      <c r="P138">
        <v>999</v>
      </c>
      <c r="Q138" s="1" t="s">
        <v>94</v>
      </c>
      <c r="R138" s="12">
        <v>45520</v>
      </c>
      <c r="S138" s="12">
        <v>0</v>
      </c>
      <c r="T138" s="12">
        <v>-413348.29</v>
      </c>
      <c r="U138" s="12">
        <v>-299.29000000000002</v>
      </c>
      <c r="V138" s="12">
        <v>-413348.29</v>
      </c>
      <c r="W138" s="12">
        <v>0</v>
      </c>
      <c r="X138" s="12">
        <v>4133.4799999999996</v>
      </c>
      <c r="Y138" t="str">
        <f t="shared" si="47"/>
        <v>Sit.Normal</v>
      </c>
      <c r="Z138">
        <f t="shared" si="38"/>
        <v>1</v>
      </c>
      <c r="AB138">
        <f>VLOOKUP(A138,rubros_a_considerar!$A$2:$A$13,1,FALSE)</f>
        <v>131742001</v>
      </c>
      <c r="AC138" s="2">
        <f t="shared" si="46"/>
        <v>-413348.29</v>
      </c>
      <c r="AD138" s="4">
        <f>IF(Z138&lt;=1,Diccionario!$M$2,Diccionario!$M$3)</f>
        <v>1.4999999999999999E-2</v>
      </c>
      <c r="AE138" s="93">
        <f t="shared" si="39"/>
        <v>4.1406369609475746E-5</v>
      </c>
      <c r="AF138">
        <f t="shared" si="40"/>
        <v>0</v>
      </c>
      <c r="AG138" s="5">
        <f t="shared" si="41"/>
        <v>3650</v>
      </c>
      <c r="AH138">
        <f t="shared" si="42"/>
        <v>365</v>
      </c>
      <c r="AI138">
        <f t="shared" si="43"/>
        <v>1779.0468468185993</v>
      </c>
      <c r="AJ138" s="4">
        <f t="shared" si="44"/>
        <v>1.4999999999999999E-2</v>
      </c>
      <c r="AK138">
        <f>IF(Z138&lt;=3,Diccionario!$O$2,IF(Z138=4,Diccionario!$O$5,Diccionario!$O$6))</f>
        <v>0.66499985814979368</v>
      </c>
      <c r="AL138">
        <f t="shared" si="45"/>
        <v>1</v>
      </c>
      <c r="AM138" s="3">
        <f t="shared" si="48"/>
        <v>413348.29</v>
      </c>
      <c r="AN138" s="95">
        <f>MIN(AJ138*AK138*AM138*(1+'[2]Pesos escenarios'!$F$8/2),AM138)</f>
        <v>5495.4174852703336</v>
      </c>
      <c r="AO138" t="str">
        <f>IFERROR(VLOOKUP(A138,Diccionario!$C$2:$E$65,3,FALSE),"no")</f>
        <v>Tarjetas_de_Crédito</v>
      </c>
    </row>
    <row r="139" spans="1:41" x14ac:dyDescent="0.35">
      <c r="A139">
        <v>131742001</v>
      </c>
      <c r="B139">
        <v>80</v>
      </c>
      <c r="C139">
        <v>55026</v>
      </c>
      <c r="D139">
        <v>0</v>
      </c>
      <c r="E139">
        <v>0</v>
      </c>
      <c r="F139" s="1">
        <v>46142</v>
      </c>
      <c r="G139" s="1">
        <v>46142</v>
      </c>
      <c r="H139" s="1">
        <v>39902</v>
      </c>
      <c r="I139">
        <v>0</v>
      </c>
      <c r="J139">
        <v>0</v>
      </c>
      <c r="K139" s="11">
        <v>101.99</v>
      </c>
      <c r="L139">
        <v>0</v>
      </c>
      <c r="M139">
        <v>0</v>
      </c>
      <c r="N139" t="s">
        <v>92</v>
      </c>
      <c r="O139" t="s">
        <v>93</v>
      </c>
      <c r="P139">
        <v>999</v>
      </c>
      <c r="Q139" s="1" t="s">
        <v>94</v>
      </c>
      <c r="R139" s="12">
        <v>39902</v>
      </c>
      <c r="S139" s="12">
        <v>0</v>
      </c>
      <c r="T139" s="12">
        <v>-464049</v>
      </c>
      <c r="U139" s="12">
        <v>-336</v>
      </c>
      <c r="V139" s="12">
        <v>-464049</v>
      </c>
      <c r="W139" s="12">
        <v>0</v>
      </c>
      <c r="X139" s="12">
        <v>4640.49</v>
      </c>
      <c r="Y139" t="str">
        <f t="shared" si="47"/>
        <v>Sit.Normal</v>
      </c>
      <c r="Z139">
        <f t="shared" si="38"/>
        <v>1</v>
      </c>
      <c r="AB139">
        <f>VLOOKUP(A139,rubros_a_considerar!$A$2:$A$13,1,FALSE)</f>
        <v>131742001</v>
      </c>
      <c r="AC139" s="2">
        <f t="shared" si="46"/>
        <v>-464049</v>
      </c>
      <c r="AD139" s="4">
        <f>IF(Z139&lt;=1,Diccionario!$M$2,Diccionario!$M$3)</f>
        <v>1.4999999999999999E-2</v>
      </c>
      <c r="AE139" s="93">
        <f t="shared" si="39"/>
        <v>4.1406369609475746E-5</v>
      </c>
      <c r="AF139">
        <f t="shared" si="40"/>
        <v>0</v>
      </c>
      <c r="AG139" s="5">
        <f t="shared" si="41"/>
        <v>3650</v>
      </c>
      <c r="AH139">
        <f t="shared" si="42"/>
        <v>365</v>
      </c>
      <c r="AI139">
        <f t="shared" si="43"/>
        <v>1779.0468468185993</v>
      </c>
      <c r="AJ139" s="4">
        <f t="shared" si="44"/>
        <v>1.4999999999999999E-2</v>
      </c>
      <c r="AK139">
        <f>IF(Z139&lt;=3,Diccionario!$O$2,IF(Z139=4,Diccionario!$O$5,Diccionario!$O$6))</f>
        <v>0.66499985814979368</v>
      </c>
      <c r="AL139">
        <f t="shared" si="45"/>
        <v>1</v>
      </c>
      <c r="AM139" s="3">
        <f t="shared" si="48"/>
        <v>464049</v>
      </c>
      <c r="AN139" s="95">
        <f>MIN(AJ139*AK139*AM139*(1+'[2]Pesos escenarios'!$F$8/2),AM139)</f>
        <v>6169.4775333949319</v>
      </c>
      <c r="AO139" t="str">
        <f>IFERROR(VLOOKUP(A139,Diccionario!$C$2:$E$65,3,FALSE),"no")</f>
        <v>Tarjetas_de_Crédito</v>
      </c>
    </row>
    <row r="140" spans="1:41" x14ac:dyDescent="0.35">
      <c r="A140">
        <v>131742001</v>
      </c>
      <c r="B140">
        <v>80</v>
      </c>
      <c r="C140">
        <v>86329</v>
      </c>
      <c r="D140">
        <v>0</v>
      </c>
      <c r="E140">
        <v>0</v>
      </c>
      <c r="F140" s="1">
        <v>46142</v>
      </c>
      <c r="G140" s="1">
        <v>46142</v>
      </c>
      <c r="H140" s="1">
        <v>43837</v>
      </c>
      <c r="I140">
        <v>0</v>
      </c>
      <c r="J140">
        <v>0</v>
      </c>
      <c r="K140" s="11">
        <v>101.99</v>
      </c>
      <c r="L140">
        <v>0</v>
      </c>
      <c r="M140">
        <v>0</v>
      </c>
      <c r="N140" t="s">
        <v>92</v>
      </c>
      <c r="O140" t="s">
        <v>93</v>
      </c>
      <c r="P140">
        <v>999</v>
      </c>
      <c r="Q140" s="1" t="s">
        <v>94</v>
      </c>
      <c r="R140" s="12">
        <v>43838</v>
      </c>
      <c r="S140" s="12">
        <v>0</v>
      </c>
      <c r="T140" s="12">
        <v>-570279.01</v>
      </c>
      <c r="U140" s="12">
        <v>-412.92</v>
      </c>
      <c r="V140" s="12">
        <v>-570279.01</v>
      </c>
      <c r="W140" s="12">
        <v>0</v>
      </c>
      <c r="X140" s="12">
        <v>5702.79</v>
      </c>
      <c r="Y140" t="str">
        <f t="shared" si="47"/>
        <v>Sit.Normal</v>
      </c>
      <c r="Z140">
        <f t="shared" si="38"/>
        <v>1</v>
      </c>
      <c r="AB140">
        <f>VLOOKUP(A140,rubros_a_considerar!$A$2:$A$13,1,FALSE)</f>
        <v>131742001</v>
      </c>
      <c r="AC140" s="2">
        <f t="shared" si="46"/>
        <v>-570279.01</v>
      </c>
      <c r="AD140" s="4">
        <f>IF(Z140&lt;=1,Diccionario!$M$2,Diccionario!$M$3)</f>
        <v>1.4999999999999999E-2</v>
      </c>
      <c r="AE140" s="93">
        <f t="shared" si="39"/>
        <v>4.1406369609475746E-5</v>
      </c>
      <c r="AF140">
        <f t="shared" si="40"/>
        <v>0</v>
      </c>
      <c r="AG140" s="5">
        <f t="shared" si="41"/>
        <v>3650</v>
      </c>
      <c r="AH140">
        <f t="shared" si="42"/>
        <v>365</v>
      </c>
      <c r="AI140">
        <f t="shared" si="43"/>
        <v>1779.0468468185993</v>
      </c>
      <c r="AJ140" s="4">
        <f t="shared" si="44"/>
        <v>1.4999999999999999E-2</v>
      </c>
      <c r="AK140">
        <f>IF(Z140&lt;=3,Diccionario!$O$2,IF(Z140=4,Diccionario!$O$5,Diccionario!$O$6))</f>
        <v>0.66499985814979368</v>
      </c>
      <c r="AL140">
        <f t="shared" si="45"/>
        <v>1</v>
      </c>
      <c r="AM140" s="3">
        <f t="shared" si="48"/>
        <v>570279.01</v>
      </c>
      <c r="AN140" s="95">
        <f>MIN(AJ140*AK140*AM140*(1+'[2]Pesos escenarios'!$F$8/2),AM140)</f>
        <v>7581.79317262122</v>
      </c>
      <c r="AO140" t="str">
        <f>IFERROR(VLOOKUP(A140,Diccionario!$C$2:$E$65,3,FALSE),"no")</f>
        <v>Tarjetas_de_Crédito</v>
      </c>
    </row>
    <row r="141" spans="1:41" x14ac:dyDescent="0.35">
      <c r="A141">
        <v>131742001</v>
      </c>
      <c r="B141">
        <v>80</v>
      </c>
      <c r="C141">
        <v>2366</v>
      </c>
      <c r="D141">
        <v>0</v>
      </c>
      <c r="E141">
        <v>0</v>
      </c>
      <c r="F141" s="1">
        <v>46142</v>
      </c>
      <c r="G141" s="1">
        <v>46142</v>
      </c>
      <c r="H141" s="1">
        <v>42054</v>
      </c>
      <c r="I141">
        <v>0</v>
      </c>
      <c r="J141">
        <v>0</v>
      </c>
      <c r="K141" s="11">
        <v>101.99</v>
      </c>
      <c r="L141">
        <v>0</v>
      </c>
      <c r="M141">
        <v>0</v>
      </c>
      <c r="N141" t="s">
        <v>92</v>
      </c>
      <c r="O141" t="s">
        <v>93</v>
      </c>
      <c r="P141">
        <v>999</v>
      </c>
      <c r="Q141" s="1" t="s">
        <v>94</v>
      </c>
      <c r="R141" s="12">
        <v>42054</v>
      </c>
      <c r="S141" s="12">
        <v>0</v>
      </c>
      <c r="T141" s="12">
        <v>-572935.92000000004</v>
      </c>
      <c r="U141" s="12">
        <v>-414.84</v>
      </c>
      <c r="V141" s="12">
        <v>-572935.92000000004</v>
      </c>
      <c r="W141" s="12">
        <v>0</v>
      </c>
      <c r="X141" s="12">
        <v>5729.36</v>
      </c>
      <c r="Y141" t="str">
        <f t="shared" si="47"/>
        <v>Sit.Normal</v>
      </c>
      <c r="Z141">
        <f t="shared" si="38"/>
        <v>1</v>
      </c>
      <c r="AB141">
        <f>VLOOKUP(A141,rubros_a_considerar!$A$2:$A$13,1,FALSE)</f>
        <v>131742001</v>
      </c>
      <c r="AC141" s="2">
        <f t="shared" si="46"/>
        <v>-572935.92000000004</v>
      </c>
      <c r="AD141" s="4">
        <f>IF(Z141&lt;=1,Diccionario!$M$2,Diccionario!$M$3)</f>
        <v>1.4999999999999999E-2</v>
      </c>
      <c r="AE141" s="93">
        <f t="shared" si="39"/>
        <v>4.1406369609475746E-5</v>
      </c>
      <c r="AF141">
        <f t="shared" si="40"/>
        <v>0</v>
      </c>
      <c r="AG141" s="5">
        <f t="shared" si="41"/>
        <v>3650</v>
      </c>
      <c r="AH141">
        <f t="shared" si="42"/>
        <v>365</v>
      </c>
      <c r="AI141">
        <f t="shared" si="43"/>
        <v>1779.0468468185993</v>
      </c>
      <c r="AJ141" s="4">
        <f t="shared" si="44"/>
        <v>1.4999999999999999E-2</v>
      </c>
      <c r="AK141">
        <f>IF(Z141&lt;=3,Diccionario!$O$2,IF(Z141=4,Diccionario!$O$5,Diccionario!$O$6))</f>
        <v>0.66499985814979368</v>
      </c>
      <c r="AL141">
        <f t="shared" si="45"/>
        <v>1</v>
      </c>
      <c r="AM141" s="3">
        <f t="shared" si="48"/>
        <v>572935.92000000004</v>
      </c>
      <c r="AN141" s="95">
        <f>MIN(AJ141*AK141*AM141*(1+'[2]Pesos escenarios'!$F$8/2),AM141)</f>
        <v>7617.1164823433664</v>
      </c>
      <c r="AO141" t="str">
        <f>IFERROR(VLOOKUP(A141,Diccionario!$C$2:$E$65,3,FALSE),"no")</f>
        <v>Tarjetas_de_Crédito</v>
      </c>
    </row>
    <row r="142" spans="1:41" x14ac:dyDescent="0.35">
      <c r="A142">
        <v>131742001</v>
      </c>
      <c r="B142">
        <v>80</v>
      </c>
      <c r="C142">
        <v>82141</v>
      </c>
      <c r="D142">
        <v>0</v>
      </c>
      <c r="E142">
        <v>0</v>
      </c>
      <c r="F142" s="1">
        <v>46142</v>
      </c>
      <c r="G142" s="1">
        <v>46142</v>
      </c>
      <c r="H142" s="1">
        <v>41453</v>
      </c>
      <c r="I142">
        <v>0</v>
      </c>
      <c r="J142">
        <v>0</v>
      </c>
      <c r="K142" s="11">
        <v>101.99</v>
      </c>
      <c r="L142">
        <v>0</v>
      </c>
      <c r="M142">
        <v>0</v>
      </c>
      <c r="N142" t="s">
        <v>92</v>
      </c>
      <c r="O142" t="s">
        <v>93</v>
      </c>
      <c r="P142">
        <v>999</v>
      </c>
      <c r="Q142" s="1" t="s">
        <v>94</v>
      </c>
      <c r="R142" s="12">
        <v>41453</v>
      </c>
      <c r="S142" s="12">
        <v>0</v>
      </c>
      <c r="T142" s="12">
        <v>-608304.01</v>
      </c>
      <c r="U142" s="12">
        <v>-440.45</v>
      </c>
      <c r="V142" s="12">
        <v>-608304.01</v>
      </c>
      <c r="W142" s="12">
        <v>0</v>
      </c>
      <c r="X142" s="12">
        <v>6083.04</v>
      </c>
      <c r="Y142" t="str">
        <f t="shared" si="47"/>
        <v>Sit.Normal</v>
      </c>
      <c r="Z142">
        <f t="shared" si="38"/>
        <v>1</v>
      </c>
      <c r="AB142">
        <f>VLOOKUP(A142,rubros_a_considerar!$A$2:$A$13,1,FALSE)</f>
        <v>131742001</v>
      </c>
      <c r="AC142" s="2">
        <f t="shared" si="46"/>
        <v>-608304.01</v>
      </c>
      <c r="AD142" s="4">
        <f>IF(Z142&lt;=1,Diccionario!$M$2,Diccionario!$M$3)</f>
        <v>1.4999999999999999E-2</v>
      </c>
      <c r="AE142" s="93">
        <f t="shared" si="39"/>
        <v>4.1406369609475746E-5</v>
      </c>
      <c r="AF142">
        <f t="shared" si="40"/>
        <v>0</v>
      </c>
      <c r="AG142" s="5">
        <f t="shared" si="41"/>
        <v>3650</v>
      </c>
      <c r="AH142">
        <f t="shared" si="42"/>
        <v>365</v>
      </c>
      <c r="AI142">
        <f t="shared" si="43"/>
        <v>1779.0468468185993</v>
      </c>
      <c r="AJ142" s="4">
        <f t="shared" si="44"/>
        <v>1.4999999999999999E-2</v>
      </c>
      <c r="AK142">
        <f>IF(Z142&lt;=3,Diccionario!$O$2,IF(Z142=4,Diccionario!$O$5,Diccionario!$O$6))</f>
        <v>0.66499985814979368</v>
      </c>
      <c r="AL142">
        <f t="shared" si="45"/>
        <v>1</v>
      </c>
      <c r="AM142" s="3">
        <f t="shared" si="48"/>
        <v>608304.01</v>
      </c>
      <c r="AN142" s="95">
        <f>MIN(AJ142*AK142*AM142*(1+'[2]Pesos escenarios'!$F$8/2),AM142)</f>
        <v>8087.3311291890441</v>
      </c>
      <c r="AO142" t="str">
        <f>IFERROR(VLOOKUP(A142,Diccionario!$C$2:$E$65,3,FALSE),"no")</f>
        <v>Tarjetas_de_Crédito</v>
      </c>
    </row>
    <row r="143" spans="1:41" x14ac:dyDescent="0.35">
      <c r="A143">
        <v>131742001</v>
      </c>
      <c r="B143">
        <v>80</v>
      </c>
      <c r="C143">
        <v>85455</v>
      </c>
      <c r="D143">
        <v>0</v>
      </c>
      <c r="E143">
        <v>0</v>
      </c>
      <c r="F143" s="1">
        <v>46142</v>
      </c>
      <c r="G143" s="1">
        <v>46142</v>
      </c>
      <c r="H143" s="1">
        <v>45989</v>
      </c>
      <c r="I143">
        <v>0</v>
      </c>
      <c r="J143">
        <v>0</v>
      </c>
      <c r="K143" s="11">
        <v>101.99</v>
      </c>
      <c r="L143">
        <v>0</v>
      </c>
      <c r="M143">
        <v>0</v>
      </c>
      <c r="N143" t="s">
        <v>92</v>
      </c>
      <c r="O143" t="s">
        <v>93</v>
      </c>
      <c r="P143">
        <v>620</v>
      </c>
      <c r="Q143" s="1" t="s">
        <v>95</v>
      </c>
      <c r="R143" s="12">
        <v>45989</v>
      </c>
      <c r="S143" s="12">
        <v>0</v>
      </c>
      <c r="T143" s="12">
        <v>636517.09</v>
      </c>
      <c r="U143" s="12">
        <v>460.88</v>
      </c>
      <c r="V143" s="12">
        <v>636517.09</v>
      </c>
      <c r="W143" s="12">
        <v>0</v>
      </c>
      <c r="X143" s="12">
        <v>0</v>
      </c>
      <c r="Y143" t="str">
        <f t="shared" si="47"/>
        <v>Sit.Normal</v>
      </c>
      <c r="Z143">
        <f t="shared" si="38"/>
        <v>1</v>
      </c>
      <c r="AB143">
        <f>VLOOKUP(A143,rubros_a_considerar!$A$2:$A$13,1,FALSE)</f>
        <v>131742001</v>
      </c>
      <c r="AC143" s="2">
        <f t="shared" si="46"/>
        <v>636517.09</v>
      </c>
      <c r="AD143" s="4">
        <f>IF(Z143&lt;=1,Diccionario!$M$2,Diccionario!$M$3)</f>
        <v>1.4999999999999999E-2</v>
      </c>
      <c r="AE143" s="93">
        <f t="shared" si="39"/>
        <v>4.1406369609475746E-5</v>
      </c>
      <c r="AF143">
        <f t="shared" si="40"/>
        <v>0</v>
      </c>
      <c r="AG143" s="5">
        <f t="shared" si="41"/>
        <v>3650</v>
      </c>
      <c r="AH143">
        <f t="shared" si="42"/>
        <v>365</v>
      </c>
      <c r="AI143">
        <f t="shared" si="43"/>
        <v>1779.0468468185993</v>
      </c>
      <c r="AJ143" s="4">
        <f t="shared" si="44"/>
        <v>1.4999999999999999E-2</v>
      </c>
      <c r="AK143">
        <f>IF(Z143&lt;=3,Diccionario!$O$2,IF(Z143=4,Diccionario!$O$5,Diccionario!$O$6))</f>
        <v>0.66499985814979368</v>
      </c>
      <c r="AL143">
        <f t="shared" si="45"/>
        <v>1</v>
      </c>
      <c r="AM143" s="3">
        <f t="shared" si="48"/>
        <v>0</v>
      </c>
      <c r="AN143" s="95">
        <f>MIN(AJ143*AK143*AM143*(1+'[2]Pesos escenarios'!$F$8/2),AM143)</f>
        <v>0</v>
      </c>
      <c r="AO143" t="str">
        <f>IFERROR(VLOOKUP(A143,Diccionario!$C$2:$E$65,3,FALSE),"no")</f>
        <v>Tarjetas_de_Crédito</v>
      </c>
    </row>
    <row r="144" spans="1:41" x14ac:dyDescent="0.35">
      <c r="A144">
        <v>131742001</v>
      </c>
      <c r="B144">
        <v>80</v>
      </c>
      <c r="C144">
        <v>59257</v>
      </c>
      <c r="D144">
        <v>0</v>
      </c>
      <c r="E144">
        <v>0</v>
      </c>
      <c r="F144" s="1">
        <v>46142</v>
      </c>
      <c r="G144" s="1">
        <v>46142</v>
      </c>
      <c r="H144" s="1">
        <v>41607</v>
      </c>
      <c r="I144">
        <v>0</v>
      </c>
      <c r="J144">
        <v>0</v>
      </c>
      <c r="K144" s="11">
        <v>101.99</v>
      </c>
      <c r="L144">
        <v>0</v>
      </c>
      <c r="M144">
        <v>0</v>
      </c>
      <c r="N144" t="s">
        <v>92</v>
      </c>
      <c r="O144" t="s">
        <v>97</v>
      </c>
      <c r="P144">
        <v>999</v>
      </c>
      <c r="Q144" s="1" t="s">
        <v>94</v>
      </c>
      <c r="R144" s="12">
        <v>41610</v>
      </c>
      <c r="S144" s="12">
        <v>0</v>
      </c>
      <c r="T144" s="12">
        <v>-640507.51</v>
      </c>
      <c r="U144" s="12">
        <v>-463.77</v>
      </c>
      <c r="V144" s="12">
        <v>-640507.51</v>
      </c>
      <c r="W144" s="12">
        <v>0</v>
      </c>
      <c r="X144" s="12">
        <v>320253.76</v>
      </c>
      <c r="Y144" t="str">
        <f t="shared" si="47"/>
        <v>Alto Riesgo</v>
      </c>
      <c r="Z144">
        <f t="shared" si="38"/>
        <v>4</v>
      </c>
      <c r="AB144">
        <f>VLOOKUP(A144,rubros_a_considerar!$A$2:$A$13,1,FALSE)</f>
        <v>131742001</v>
      </c>
      <c r="AC144" s="2">
        <f t="shared" si="46"/>
        <v>-640507.51</v>
      </c>
      <c r="AD144" s="4">
        <f>IF(Z144&lt;=1,Diccionario!$M$2,Diccionario!$M$3)</f>
        <v>4.1599564264279444E-2</v>
      </c>
      <c r="AE144" s="93">
        <f t="shared" si="39"/>
        <v>1.1640307935334437E-4</v>
      </c>
      <c r="AF144">
        <f t="shared" si="40"/>
        <v>0</v>
      </c>
      <c r="AG144" s="5">
        <f t="shared" si="41"/>
        <v>3650</v>
      </c>
      <c r="AH144">
        <f t="shared" si="42"/>
        <v>3650</v>
      </c>
      <c r="AI144">
        <f t="shared" si="43"/>
        <v>1696.1480282233019</v>
      </c>
      <c r="AJ144" s="4">
        <f t="shared" si="44"/>
        <v>1</v>
      </c>
      <c r="AK144">
        <f>IF(Z144&lt;=3,Diccionario!$O$2,IF(Z144=4,Diccionario!$O$5,Diccionario!$O$6))</f>
        <v>0.92250106026350687</v>
      </c>
      <c r="AL144">
        <f t="shared" si="45"/>
        <v>3</v>
      </c>
      <c r="AM144" s="3">
        <f t="shared" si="48"/>
        <v>640507.51</v>
      </c>
      <c r="AN144" s="95">
        <f>MIN(AJ144*AK144*AM144*(1+'[2]Pesos escenarios'!$F$8/2),AM144)</f>
        <v>640507.51</v>
      </c>
      <c r="AO144" t="str">
        <f>IFERROR(VLOOKUP(A144,Diccionario!$C$2:$E$65,3,FALSE),"no")</f>
        <v>Tarjetas_de_Crédito</v>
      </c>
    </row>
    <row r="145" spans="1:41" x14ac:dyDescent="0.35">
      <c r="A145">
        <v>131742001</v>
      </c>
      <c r="B145">
        <v>80</v>
      </c>
      <c r="C145">
        <v>54311</v>
      </c>
      <c r="D145">
        <v>0</v>
      </c>
      <c r="E145">
        <v>0</v>
      </c>
      <c r="F145" s="1">
        <v>46142</v>
      </c>
      <c r="G145" s="1">
        <v>46142</v>
      </c>
      <c r="H145" s="1">
        <v>36728</v>
      </c>
      <c r="I145">
        <v>0</v>
      </c>
      <c r="J145">
        <v>0</v>
      </c>
      <c r="K145" s="11">
        <v>101.99</v>
      </c>
      <c r="L145">
        <v>0</v>
      </c>
      <c r="M145">
        <v>0</v>
      </c>
      <c r="N145" t="s">
        <v>92</v>
      </c>
      <c r="O145" t="s">
        <v>93</v>
      </c>
      <c r="P145">
        <v>999</v>
      </c>
      <c r="Q145" s="1" t="s">
        <v>94</v>
      </c>
      <c r="R145" s="12">
        <v>36728</v>
      </c>
      <c r="S145" s="12">
        <v>0</v>
      </c>
      <c r="T145" s="12">
        <v>-653915.66</v>
      </c>
      <c r="U145" s="12">
        <v>-473.48</v>
      </c>
      <c r="V145" s="12">
        <v>-653915.66</v>
      </c>
      <c r="W145" s="12">
        <v>0</v>
      </c>
      <c r="X145" s="12">
        <v>6539.16</v>
      </c>
      <c r="Y145" t="str">
        <f t="shared" si="47"/>
        <v>Sit.Normal</v>
      </c>
      <c r="Z145">
        <f t="shared" si="38"/>
        <v>1</v>
      </c>
      <c r="AB145">
        <f>VLOOKUP(A145,rubros_a_considerar!$A$2:$A$13,1,FALSE)</f>
        <v>131742001</v>
      </c>
      <c r="AC145" s="2">
        <f t="shared" si="46"/>
        <v>-653915.66</v>
      </c>
      <c r="AD145" s="4">
        <f>IF(Z145&lt;=1,Diccionario!$M$2,Diccionario!$M$3)</f>
        <v>1.4999999999999999E-2</v>
      </c>
      <c r="AE145" s="93">
        <f t="shared" si="39"/>
        <v>4.1406369609475746E-5</v>
      </c>
      <c r="AF145">
        <f t="shared" si="40"/>
        <v>0</v>
      </c>
      <c r="AG145" s="5">
        <f t="shared" si="41"/>
        <v>3650</v>
      </c>
      <c r="AH145">
        <f t="shared" si="42"/>
        <v>365</v>
      </c>
      <c r="AI145">
        <f t="shared" si="43"/>
        <v>1779.0468468185993</v>
      </c>
      <c r="AJ145" s="4">
        <f t="shared" si="44"/>
        <v>1.4999999999999999E-2</v>
      </c>
      <c r="AK145">
        <f>IF(Z145&lt;=3,Diccionario!$O$2,IF(Z145=4,Diccionario!$O$5,Diccionario!$O$6))</f>
        <v>0.66499985814979368</v>
      </c>
      <c r="AL145">
        <f t="shared" si="45"/>
        <v>1</v>
      </c>
      <c r="AM145" s="3">
        <f t="shared" si="48"/>
        <v>653915.66</v>
      </c>
      <c r="AN145" s="95">
        <f>MIN(AJ145*AK145*AM145*(1+'[2]Pesos escenarios'!$F$8/2),AM145)</f>
        <v>8693.7327159526685</v>
      </c>
      <c r="AO145" t="str">
        <f>IFERROR(VLOOKUP(A145,Diccionario!$C$2:$E$65,3,FALSE),"no")</f>
        <v>Tarjetas_de_Crédito</v>
      </c>
    </row>
    <row r="146" spans="1:41" x14ac:dyDescent="0.35">
      <c r="A146">
        <v>131742001</v>
      </c>
      <c r="B146">
        <v>80</v>
      </c>
      <c r="C146">
        <v>87039</v>
      </c>
      <c r="D146">
        <v>0</v>
      </c>
      <c r="E146">
        <v>0</v>
      </c>
      <c r="F146" s="1">
        <v>46142</v>
      </c>
      <c r="G146" s="1">
        <v>46142</v>
      </c>
      <c r="H146" s="1">
        <v>45957</v>
      </c>
      <c r="I146">
        <v>0</v>
      </c>
      <c r="J146">
        <v>0</v>
      </c>
      <c r="K146" s="11">
        <v>101.99</v>
      </c>
      <c r="L146">
        <v>0</v>
      </c>
      <c r="M146">
        <v>0</v>
      </c>
      <c r="N146" t="s">
        <v>92</v>
      </c>
      <c r="O146" t="s">
        <v>93</v>
      </c>
      <c r="P146">
        <v>999</v>
      </c>
      <c r="Q146" s="1" t="s">
        <v>94</v>
      </c>
      <c r="R146" s="12">
        <v>45958</v>
      </c>
      <c r="S146" s="12">
        <v>0</v>
      </c>
      <c r="T146" s="12">
        <v>-654502.03</v>
      </c>
      <c r="U146" s="12">
        <v>-473.9</v>
      </c>
      <c r="V146" s="12">
        <v>-654502.03</v>
      </c>
      <c r="W146" s="12">
        <v>0</v>
      </c>
      <c r="X146" s="12">
        <v>6545.02</v>
      </c>
      <c r="Y146" t="str">
        <f t="shared" si="47"/>
        <v>Sit.Normal</v>
      </c>
      <c r="Z146">
        <f t="shared" si="38"/>
        <v>1</v>
      </c>
      <c r="AB146">
        <f>VLOOKUP(A146,rubros_a_considerar!$A$2:$A$13,1,FALSE)</f>
        <v>131742001</v>
      </c>
      <c r="AC146" s="2">
        <f t="shared" si="46"/>
        <v>-654502.03</v>
      </c>
      <c r="AD146" s="4">
        <f>IF(Z146&lt;=1,Diccionario!$M$2,Diccionario!$M$3)</f>
        <v>1.4999999999999999E-2</v>
      </c>
      <c r="AE146" s="93">
        <f t="shared" si="39"/>
        <v>4.1406369609475746E-5</v>
      </c>
      <c r="AF146">
        <f t="shared" si="40"/>
        <v>0</v>
      </c>
      <c r="AG146" s="5">
        <f t="shared" si="41"/>
        <v>3650</v>
      </c>
      <c r="AH146">
        <f t="shared" si="42"/>
        <v>365</v>
      </c>
      <c r="AI146">
        <f t="shared" si="43"/>
        <v>1779.0468468185993</v>
      </c>
      <c r="AJ146" s="4">
        <f t="shared" si="44"/>
        <v>1.4999999999999999E-2</v>
      </c>
      <c r="AK146">
        <f>IF(Z146&lt;=3,Diccionario!$O$2,IF(Z146=4,Diccionario!$O$5,Diccionario!$O$6))</f>
        <v>0.66499985814979368</v>
      </c>
      <c r="AL146">
        <f t="shared" si="45"/>
        <v>1</v>
      </c>
      <c r="AM146" s="3">
        <f t="shared" si="48"/>
        <v>654502.03</v>
      </c>
      <c r="AN146" s="95">
        <f>MIN(AJ146*AK146*AM146*(1+'[2]Pesos escenarios'!$F$8/2),AM146)</f>
        <v>8701.5284369675974</v>
      </c>
      <c r="AO146" t="str">
        <f>IFERROR(VLOOKUP(A146,Diccionario!$C$2:$E$65,3,FALSE),"no")</f>
        <v>Tarjetas_de_Crédito</v>
      </c>
    </row>
    <row r="147" spans="1:41" x14ac:dyDescent="0.35">
      <c r="A147">
        <v>135742001</v>
      </c>
      <c r="B147">
        <v>2</v>
      </c>
      <c r="C147">
        <v>59750</v>
      </c>
      <c r="D147">
        <v>0</v>
      </c>
      <c r="E147">
        <v>0</v>
      </c>
      <c r="F147" s="1">
        <v>46142</v>
      </c>
      <c r="G147" s="1">
        <v>46142</v>
      </c>
      <c r="H147" s="1">
        <v>42381</v>
      </c>
      <c r="I147">
        <v>0</v>
      </c>
      <c r="J147">
        <v>0</v>
      </c>
      <c r="K147" s="11">
        <v>0</v>
      </c>
      <c r="L147">
        <v>0</v>
      </c>
      <c r="M147">
        <v>0</v>
      </c>
      <c r="N147" t="s">
        <v>92</v>
      </c>
      <c r="O147" t="s">
        <v>93</v>
      </c>
      <c r="P147">
        <v>103</v>
      </c>
      <c r="Q147" s="1" t="s">
        <v>95</v>
      </c>
      <c r="R147" s="12">
        <v>42381</v>
      </c>
      <c r="S147" s="12">
        <v>0</v>
      </c>
      <c r="T147" s="12">
        <v>-670438.94999999995</v>
      </c>
      <c r="U147" s="12">
        <v>-485.44</v>
      </c>
      <c r="V147" s="12">
        <v>-485.44</v>
      </c>
      <c r="W147" s="12">
        <v>0</v>
      </c>
      <c r="X147" s="12">
        <v>4.8499999999999996</v>
      </c>
      <c r="Y147" t="str">
        <f t="shared" si="47"/>
        <v>Sit.Normal</v>
      </c>
      <c r="Z147">
        <f t="shared" si="38"/>
        <v>1</v>
      </c>
      <c r="AB147">
        <f>VLOOKUP(A147,rubros_a_considerar!$A$2:$A$13,1,FALSE)</f>
        <v>135742001</v>
      </c>
      <c r="AC147" s="2">
        <f t="shared" si="46"/>
        <v>-670438.94999999995</v>
      </c>
      <c r="AD147" s="4">
        <f>IF(Z147&lt;=1,Diccionario!$M$2,Diccionario!$M$3)</f>
        <v>1.4999999999999999E-2</v>
      </c>
      <c r="AE147" s="93">
        <f t="shared" si="39"/>
        <v>4.1406369609475746E-5</v>
      </c>
      <c r="AF147">
        <f t="shared" si="40"/>
        <v>0</v>
      </c>
      <c r="AG147" s="5">
        <f t="shared" si="41"/>
        <v>3650</v>
      </c>
      <c r="AH147">
        <f t="shared" si="42"/>
        <v>365</v>
      </c>
      <c r="AI147">
        <f t="shared" si="43"/>
        <v>1779.0468468185993</v>
      </c>
      <c r="AJ147" s="4">
        <f t="shared" si="44"/>
        <v>1.4999999999999999E-2</v>
      </c>
      <c r="AK147">
        <f>IF(Z147&lt;=3,Diccionario!$O$2,IF(Z147=4,Diccionario!$O$5,Diccionario!$O$6))</f>
        <v>0.66499985814979368</v>
      </c>
      <c r="AL147">
        <f t="shared" si="45"/>
        <v>1</v>
      </c>
      <c r="AM147" s="3">
        <f t="shared" si="48"/>
        <v>670438.94999999995</v>
      </c>
      <c r="AN147" s="95">
        <f>MIN(AJ147*AK147*AM147*(1+'[2]Pesos escenarios'!$F$8/2),AM147)</f>
        <v>8913.407936528014</v>
      </c>
      <c r="AO147" t="str">
        <f>IFERROR(VLOOKUP(A147,Diccionario!$C$2:$E$65,3,FALSE),"no")</f>
        <v>Tarjetas_de_Crédito</v>
      </c>
    </row>
    <row r="148" spans="1:41" x14ac:dyDescent="0.35">
      <c r="A148">
        <v>135742001</v>
      </c>
      <c r="B148">
        <v>2</v>
      </c>
      <c r="C148">
        <v>54857</v>
      </c>
      <c r="D148">
        <v>0</v>
      </c>
      <c r="E148">
        <v>0</v>
      </c>
      <c r="F148" s="1">
        <v>46142</v>
      </c>
      <c r="G148" s="1">
        <v>46142</v>
      </c>
      <c r="H148" s="1">
        <v>46100</v>
      </c>
      <c r="I148">
        <v>0</v>
      </c>
      <c r="J148">
        <v>0</v>
      </c>
      <c r="K148" s="11">
        <v>0</v>
      </c>
      <c r="L148">
        <v>0</v>
      </c>
      <c r="M148">
        <v>0</v>
      </c>
      <c r="N148" t="s">
        <v>92</v>
      </c>
      <c r="O148" t="s">
        <v>93</v>
      </c>
      <c r="P148">
        <v>999</v>
      </c>
      <c r="Q148" s="1" t="s">
        <v>94</v>
      </c>
      <c r="R148" s="12">
        <v>46100</v>
      </c>
      <c r="S148" s="12">
        <v>0</v>
      </c>
      <c r="T148" s="12">
        <v>685962.46</v>
      </c>
      <c r="U148" s="12">
        <v>496.68</v>
      </c>
      <c r="V148" s="12">
        <v>496.68</v>
      </c>
      <c r="W148" s="12">
        <v>0</v>
      </c>
      <c r="X148" s="12">
        <v>0</v>
      </c>
      <c r="Y148" t="str">
        <f t="shared" si="47"/>
        <v>Sit.Normal</v>
      </c>
      <c r="Z148">
        <f t="shared" si="38"/>
        <v>1</v>
      </c>
      <c r="AB148">
        <f>VLOOKUP(A148,rubros_a_considerar!$A$2:$A$13,1,FALSE)</f>
        <v>135742001</v>
      </c>
      <c r="AC148" s="2">
        <f t="shared" si="46"/>
        <v>685962.46</v>
      </c>
      <c r="AD148" s="4">
        <f>IF(Z148&lt;=1,Diccionario!$M$2,Diccionario!$M$3)</f>
        <v>1.4999999999999999E-2</v>
      </c>
      <c r="AE148" s="93">
        <f t="shared" si="39"/>
        <v>4.1406369609475746E-5</v>
      </c>
      <c r="AF148">
        <f t="shared" si="40"/>
        <v>0</v>
      </c>
      <c r="AG148" s="5">
        <f t="shared" si="41"/>
        <v>3650</v>
      </c>
      <c r="AH148">
        <f t="shared" si="42"/>
        <v>365</v>
      </c>
      <c r="AI148">
        <f t="shared" si="43"/>
        <v>1779.0468468185993</v>
      </c>
      <c r="AJ148" s="4">
        <f t="shared" si="44"/>
        <v>1.4999999999999999E-2</v>
      </c>
      <c r="AK148">
        <f>IF(Z148&lt;=3,Diccionario!$O$2,IF(Z148=4,Diccionario!$O$5,Diccionario!$O$6))</f>
        <v>0.66499985814979368</v>
      </c>
      <c r="AL148">
        <f t="shared" si="45"/>
        <v>1</v>
      </c>
      <c r="AM148" s="3">
        <f t="shared" si="48"/>
        <v>0</v>
      </c>
      <c r="AN148" s="95">
        <f>MIN(AJ148*AK148*AM148*(1+'[2]Pesos escenarios'!$F$8/2),AM148)</f>
        <v>0</v>
      </c>
      <c r="AO148" t="str">
        <f>IFERROR(VLOOKUP(A148,Diccionario!$C$2:$E$65,3,FALSE),"no")</f>
        <v>Tarjetas_de_Crédito</v>
      </c>
    </row>
    <row r="149" spans="1:41" x14ac:dyDescent="0.35">
      <c r="A149">
        <v>131742001</v>
      </c>
      <c r="B149">
        <v>80</v>
      </c>
      <c r="C149">
        <v>58922</v>
      </c>
      <c r="D149">
        <v>0</v>
      </c>
      <c r="E149">
        <v>0</v>
      </c>
      <c r="F149" s="1">
        <v>46142</v>
      </c>
      <c r="G149" s="1">
        <v>46142</v>
      </c>
      <c r="H149" s="1">
        <v>41670</v>
      </c>
      <c r="I149">
        <v>0</v>
      </c>
      <c r="J149">
        <v>0</v>
      </c>
      <c r="K149" s="11">
        <v>101.99</v>
      </c>
      <c r="L149">
        <v>0</v>
      </c>
      <c r="M149">
        <v>0</v>
      </c>
      <c r="N149" t="s">
        <v>92</v>
      </c>
      <c r="O149" t="s">
        <v>93</v>
      </c>
      <c r="P149">
        <v>999</v>
      </c>
      <c r="Q149" s="1" t="s">
        <v>94</v>
      </c>
      <c r="R149" s="12">
        <v>41673</v>
      </c>
      <c r="S149" s="12">
        <v>0</v>
      </c>
      <c r="T149" s="12">
        <v>-734263.66</v>
      </c>
      <c r="U149" s="12">
        <v>-531.65</v>
      </c>
      <c r="V149" s="12">
        <v>-734263.66</v>
      </c>
      <c r="W149" s="12">
        <v>0</v>
      </c>
      <c r="X149" s="12">
        <v>7342.64</v>
      </c>
      <c r="Y149" t="str">
        <f t="shared" si="47"/>
        <v>Sit.Normal</v>
      </c>
      <c r="Z149">
        <f t="shared" si="38"/>
        <v>1</v>
      </c>
      <c r="AB149">
        <f>VLOOKUP(A149,rubros_a_considerar!$A$2:$A$13,1,FALSE)</f>
        <v>131742001</v>
      </c>
      <c r="AC149" s="2">
        <f t="shared" si="46"/>
        <v>-734263.66</v>
      </c>
      <c r="AD149" s="4">
        <f>IF(Z149&lt;=1,Diccionario!$M$2,Diccionario!$M$3)</f>
        <v>1.4999999999999999E-2</v>
      </c>
      <c r="AE149" s="93">
        <f t="shared" si="39"/>
        <v>4.1406369609475746E-5</v>
      </c>
      <c r="AF149">
        <f t="shared" si="40"/>
        <v>0</v>
      </c>
      <c r="AG149" s="5">
        <f t="shared" si="41"/>
        <v>3650</v>
      </c>
      <c r="AH149">
        <f t="shared" si="42"/>
        <v>365</v>
      </c>
      <c r="AI149">
        <f t="shared" si="43"/>
        <v>1779.0468468185993</v>
      </c>
      <c r="AJ149" s="4">
        <f t="shared" si="44"/>
        <v>1.4999999999999999E-2</v>
      </c>
      <c r="AK149">
        <f>IF(Z149&lt;=3,Diccionario!$O$2,IF(Z149=4,Diccionario!$O$5,Diccionario!$O$6))</f>
        <v>0.66499985814979368</v>
      </c>
      <c r="AL149">
        <f t="shared" si="45"/>
        <v>1</v>
      </c>
      <c r="AM149" s="3">
        <f t="shared" si="48"/>
        <v>734263.66</v>
      </c>
      <c r="AN149" s="95">
        <f>MIN(AJ149*AK149*AM149*(1+'[2]Pesos escenarios'!$F$8/2),AM149)</f>
        <v>9761.9500396689491</v>
      </c>
      <c r="AO149" t="str">
        <f>IFERROR(VLOOKUP(A149,Diccionario!$C$2:$E$65,3,FALSE),"no")</f>
        <v>Tarjetas_de_Crédito</v>
      </c>
    </row>
    <row r="150" spans="1:41" x14ac:dyDescent="0.35">
      <c r="A150">
        <v>131742001</v>
      </c>
      <c r="B150">
        <v>80</v>
      </c>
      <c r="C150">
        <v>59558</v>
      </c>
      <c r="D150">
        <v>0</v>
      </c>
      <c r="E150">
        <v>0</v>
      </c>
      <c r="F150" s="1">
        <v>46142</v>
      </c>
      <c r="G150" s="1">
        <v>46142</v>
      </c>
      <c r="H150" s="1">
        <v>41101</v>
      </c>
      <c r="I150">
        <v>0</v>
      </c>
      <c r="J150">
        <v>0</v>
      </c>
      <c r="K150" s="11">
        <v>101.99</v>
      </c>
      <c r="L150">
        <v>0</v>
      </c>
      <c r="M150">
        <v>0</v>
      </c>
      <c r="N150" t="s">
        <v>92</v>
      </c>
      <c r="O150" t="s">
        <v>93</v>
      </c>
      <c r="P150">
        <v>999</v>
      </c>
      <c r="Q150" s="1" t="s">
        <v>94</v>
      </c>
      <c r="R150" s="12">
        <v>41101</v>
      </c>
      <c r="S150" s="12">
        <v>0</v>
      </c>
      <c r="T150" s="12">
        <v>-795273</v>
      </c>
      <c r="U150" s="12">
        <v>-575.83000000000004</v>
      </c>
      <c r="V150" s="12">
        <v>-795273</v>
      </c>
      <c r="W150" s="12">
        <v>0</v>
      </c>
      <c r="X150" s="12">
        <v>7952.73</v>
      </c>
      <c r="Y150" t="str">
        <f t="shared" si="47"/>
        <v>Sit.Normal</v>
      </c>
      <c r="Z150">
        <f t="shared" si="38"/>
        <v>1</v>
      </c>
      <c r="AB150">
        <f>VLOOKUP(A150,rubros_a_considerar!$A$2:$A$13,1,FALSE)</f>
        <v>131742001</v>
      </c>
      <c r="AC150" s="2">
        <f t="shared" si="46"/>
        <v>-795273</v>
      </c>
      <c r="AD150" s="4">
        <f>IF(Z150&lt;=1,Diccionario!$M$2,Diccionario!$M$3)</f>
        <v>1.4999999999999999E-2</v>
      </c>
      <c r="AE150" s="93">
        <f t="shared" si="39"/>
        <v>4.1406369609475746E-5</v>
      </c>
      <c r="AF150">
        <f t="shared" si="40"/>
        <v>0</v>
      </c>
      <c r="AG150" s="5">
        <f t="shared" si="41"/>
        <v>3650</v>
      </c>
      <c r="AH150">
        <f t="shared" si="42"/>
        <v>365</v>
      </c>
      <c r="AI150">
        <f t="shared" si="43"/>
        <v>1779.0468468185993</v>
      </c>
      <c r="AJ150" s="4">
        <f t="shared" si="44"/>
        <v>1.4999999999999999E-2</v>
      </c>
      <c r="AK150">
        <f>IF(Z150&lt;=3,Diccionario!$O$2,IF(Z150=4,Diccionario!$O$5,Diccionario!$O$6))</f>
        <v>0.66499985814979368</v>
      </c>
      <c r="AL150">
        <f t="shared" si="45"/>
        <v>1</v>
      </c>
      <c r="AM150" s="3">
        <f t="shared" si="48"/>
        <v>795273</v>
      </c>
      <c r="AN150" s="95">
        <f>MIN(AJ150*AK150*AM150*(1+'[2]Pesos escenarios'!$F$8/2),AM150)</f>
        <v>10573.062125800483</v>
      </c>
      <c r="AO150" t="str">
        <f>IFERROR(VLOOKUP(A150,Diccionario!$C$2:$E$65,3,FALSE),"no")</f>
        <v>Tarjetas_de_Crédito</v>
      </c>
    </row>
    <row r="151" spans="1:41" x14ac:dyDescent="0.35">
      <c r="A151">
        <v>131742001</v>
      </c>
      <c r="B151">
        <v>80</v>
      </c>
      <c r="C151">
        <v>86107</v>
      </c>
      <c r="D151">
        <v>0</v>
      </c>
      <c r="E151">
        <v>0</v>
      </c>
      <c r="F151" s="1">
        <v>46142</v>
      </c>
      <c r="G151" s="1">
        <v>46142</v>
      </c>
      <c r="H151" s="1">
        <v>44881</v>
      </c>
      <c r="I151">
        <v>0</v>
      </c>
      <c r="J151">
        <v>0</v>
      </c>
      <c r="K151" s="11">
        <v>101.99</v>
      </c>
      <c r="L151">
        <v>0</v>
      </c>
      <c r="M151">
        <v>0</v>
      </c>
      <c r="N151" t="s">
        <v>92</v>
      </c>
      <c r="O151" t="s">
        <v>93</v>
      </c>
      <c r="P151">
        <v>999</v>
      </c>
      <c r="Q151" s="1" t="s">
        <v>94</v>
      </c>
      <c r="R151" s="12">
        <v>44881</v>
      </c>
      <c r="S151" s="12">
        <v>0</v>
      </c>
      <c r="T151" s="12">
        <v>-844124.31</v>
      </c>
      <c r="U151" s="12">
        <v>-611.20000000000005</v>
      </c>
      <c r="V151" s="12">
        <v>-844124.31</v>
      </c>
      <c r="W151" s="12">
        <v>0</v>
      </c>
      <c r="X151" s="12">
        <v>8441.24</v>
      </c>
      <c r="Y151" t="str">
        <f t="shared" si="47"/>
        <v>Sit.Normal</v>
      </c>
      <c r="Z151">
        <f t="shared" si="38"/>
        <v>1</v>
      </c>
      <c r="AB151">
        <f>VLOOKUP(A151,rubros_a_considerar!$A$2:$A$13,1,FALSE)</f>
        <v>131742001</v>
      </c>
      <c r="AC151" s="2">
        <f t="shared" si="46"/>
        <v>-844124.31</v>
      </c>
      <c r="AD151" s="4">
        <f>IF(Z151&lt;=1,Diccionario!$M$2,Diccionario!$M$3)</f>
        <v>1.4999999999999999E-2</v>
      </c>
      <c r="AE151" s="93">
        <f t="shared" si="39"/>
        <v>4.1406369609475746E-5</v>
      </c>
      <c r="AF151">
        <f t="shared" si="40"/>
        <v>0</v>
      </c>
      <c r="AG151" s="5">
        <f t="shared" si="41"/>
        <v>3650</v>
      </c>
      <c r="AH151">
        <f t="shared" si="42"/>
        <v>365</v>
      </c>
      <c r="AI151">
        <f t="shared" si="43"/>
        <v>1779.0468468185993</v>
      </c>
      <c r="AJ151" s="4">
        <f t="shared" si="44"/>
        <v>1.4999999999999999E-2</v>
      </c>
      <c r="AK151">
        <f>IF(Z151&lt;=3,Diccionario!$O$2,IF(Z151=4,Diccionario!$O$5,Diccionario!$O$6))</f>
        <v>0.66499985814979368</v>
      </c>
      <c r="AL151">
        <f t="shared" si="45"/>
        <v>1</v>
      </c>
      <c r="AM151" s="3">
        <f t="shared" si="48"/>
        <v>844124.31</v>
      </c>
      <c r="AN151" s="95">
        <f>MIN(AJ151*AK151*AM151*(1+'[2]Pesos escenarios'!$F$8/2),AM151)</f>
        <v>11222.53461582182</v>
      </c>
      <c r="AO151" t="str">
        <f>IFERROR(VLOOKUP(A151,Diccionario!$C$2:$E$65,3,FALSE),"no")</f>
        <v>Tarjetas_de_Crédito</v>
      </c>
    </row>
    <row r="152" spans="1:41" x14ac:dyDescent="0.35">
      <c r="A152">
        <v>131742001</v>
      </c>
      <c r="B152">
        <v>80</v>
      </c>
      <c r="C152">
        <v>53660</v>
      </c>
      <c r="D152">
        <v>0</v>
      </c>
      <c r="E152">
        <v>0</v>
      </c>
      <c r="F152" s="1">
        <v>46142</v>
      </c>
      <c r="G152" s="1">
        <v>46142</v>
      </c>
      <c r="H152" s="1">
        <v>42893</v>
      </c>
      <c r="I152">
        <v>0</v>
      </c>
      <c r="J152">
        <v>0</v>
      </c>
      <c r="K152" s="11">
        <v>101.99</v>
      </c>
      <c r="L152">
        <v>0</v>
      </c>
      <c r="M152">
        <v>0</v>
      </c>
      <c r="N152" t="s">
        <v>92</v>
      </c>
      <c r="O152" t="s">
        <v>93</v>
      </c>
      <c r="P152">
        <v>999</v>
      </c>
      <c r="Q152" s="1" t="s">
        <v>94</v>
      </c>
      <c r="R152" s="12">
        <v>42893</v>
      </c>
      <c r="S152" s="12">
        <v>0</v>
      </c>
      <c r="T152" s="12">
        <v>-868704.41</v>
      </c>
      <c r="U152" s="12">
        <v>-629</v>
      </c>
      <c r="V152" s="12">
        <v>-868704.41</v>
      </c>
      <c r="W152" s="12">
        <v>0</v>
      </c>
      <c r="X152" s="12">
        <v>8687.0400000000009</v>
      </c>
      <c r="Y152" t="str">
        <f t="shared" si="47"/>
        <v>Sit.Normal</v>
      </c>
      <c r="Z152">
        <f t="shared" si="38"/>
        <v>1</v>
      </c>
      <c r="AB152">
        <f>VLOOKUP(A152,rubros_a_considerar!$A$2:$A$13,1,FALSE)</f>
        <v>131742001</v>
      </c>
      <c r="AC152" s="2">
        <f t="shared" si="46"/>
        <v>-868704.41</v>
      </c>
      <c r="AD152" s="4">
        <f>IF(Z152&lt;=1,Diccionario!$M$2,Diccionario!$M$3)</f>
        <v>1.4999999999999999E-2</v>
      </c>
      <c r="AE152" s="93">
        <f t="shared" si="39"/>
        <v>4.1406369609475746E-5</v>
      </c>
      <c r="AF152">
        <f t="shared" si="40"/>
        <v>0</v>
      </c>
      <c r="AG152" s="5">
        <f t="shared" si="41"/>
        <v>3650</v>
      </c>
      <c r="AH152">
        <f t="shared" si="42"/>
        <v>365</v>
      </c>
      <c r="AI152">
        <f t="shared" si="43"/>
        <v>1779.0468468185993</v>
      </c>
      <c r="AJ152" s="4">
        <f t="shared" si="44"/>
        <v>1.4999999999999999E-2</v>
      </c>
      <c r="AK152">
        <f>IF(Z152&lt;=3,Diccionario!$O$2,IF(Z152=4,Diccionario!$O$5,Diccionario!$O$6))</f>
        <v>0.66499985814979368</v>
      </c>
      <c r="AL152">
        <f t="shared" si="45"/>
        <v>1</v>
      </c>
      <c r="AM152" s="3">
        <f t="shared" si="48"/>
        <v>868704.41</v>
      </c>
      <c r="AN152" s="95">
        <f>MIN(AJ152*AK152*AM152*(1+'[2]Pesos escenarios'!$F$8/2),AM152)</f>
        <v>11549.324189161276</v>
      </c>
      <c r="AO152" t="str">
        <f>IFERROR(VLOOKUP(A152,Diccionario!$C$2:$E$65,3,FALSE),"no")</f>
        <v>Tarjetas_de_Crédito</v>
      </c>
    </row>
    <row r="153" spans="1:41" x14ac:dyDescent="0.35">
      <c r="A153">
        <v>131742001</v>
      </c>
      <c r="B153">
        <v>80</v>
      </c>
      <c r="C153">
        <v>14998</v>
      </c>
      <c r="D153">
        <v>0</v>
      </c>
      <c r="E153">
        <v>0</v>
      </c>
      <c r="F153" s="1">
        <v>46142</v>
      </c>
      <c r="G153" s="1">
        <v>46142</v>
      </c>
      <c r="H153" s="1">
        <v>36955</v>
      </c>
      <c r="I153">
        <v>0</v>
      </c>
      <c r="J153">
        <v>0</v>
      </c>
      <c r="K153" s="11">
        <v>101.99</v>
      </c>
      <c r="L153">
        <v>0</v>
      </c>
      <c r="M153">
        <v>0</v>
      </c>
      <c r="N153" t="s">
        <v>92</v>
      </c>
      <c r="O153" t="s">
        <v>93</v>
      </c>
      <c r="P153">
        <v>999</v>
      </c>
      <c r="Q153" s="1" t="s">
        <v>94</v>
      </c>
      <c r="R153" s="12">
        <v>36955</v>
      </c>
      <c r="S153" s="12">
        <v>0</v>
      </c>
      <c r="T153" s="12">
        <v>-978720.69</v>
      </c>
      <c r="U153" s="12">
        <v>-708.66</v>
      </c>
      <c r="V153" s="12">
        <v>-978720.69</v>
      </c>
      <c r="W153" s="12">
        <v>0</v>
      </c>
      <c r="X153" s="12">
        <v>9787.2099999999991</v>
      </c>
      <c r="Y153" t="str">
        <f t="shared" si="47"/>
        <v>Sit.Normal</v>
      </c>
      <c r="Z153">
        <f t="shared" si="38"/>
        <v>1</v>
      </c>
      <c r="AB153">
        <f>VLOOKUP(A153,rubros_a_considerar!$A$2:$A$13,1,FALSE)</f>
        <v>131742001</v>
      </c>
      <c r="AC153" s="2">
        <f t="shared" si="46"/>
        <v>-978720.69</v>
      </c>
      <c r="AD153" s="4">
        <f>IF(Z153&lt;=1,Diccionario!$M$2,Diccionario!$M$3)</f>
        <v>1.4999999999999999E-2</v>
      </c>
      <c r="AE153" s="93">
        <f t="shared" si="39"/>
        <v>4.1406369609475746E-5</v>
      </c>
      <c r="AF153">
        <f t="shared" si="40"/>
        <v>0</v>
      </c>
      <c r="AG153" s="5">
        <f t="shared" si="41"/>
        <v>3650</v>
      </c>
      <c r="AH153">
        <f t="shared" si="42"/>
        <v>365</v>
      </c>
      <c r="AI153">
        <f t="shared" si="43"/>
        <v>1779.0468468185993</v>
      </c>
      <c r="AJ153" s="4">
        <f t="shared" si="44"/>
        <v>1.4999999999999999E-2</v>
      </c>
      <c r="AK153">
        <f>IF(Z153&lt;=3,Diccionario!$O$2,IF(Z153=4,Diccionario!$O$5,Diccionario!$O$6))</f>
        <v>0.66499985814979368</v>
      </c>
      <c r="AL153">
        <f t="shared" si="45"/>
        <v>1</v>
      </c>
      <c r="AM153" s="3">
        <f t="shared" si="48"/>
        <v>978720.69</v>
      </c>
      <c r="AN153" s="95">
        <f>MIN(AJ153*AK153*AM153*(1+'[2]Pesos escenarios'!$F$8/2),AM153)</f>
        <v>13011.97784808024</v>
      </c>
      <c r="AO153" t="str">
        <f>IFERROR(VLOOKUP(A153,Diccionario!$C$2:$E$65,3,FALSE),"no")</f>
        <v>Tarjetas_de_Crédito</v>
      </c>
    </row>
    <row r="154" spans="1:41" x14ac:dyDescent="0.35">
      <c r="A154">
        <v>131742001</v>
      </c>
      <c r="B154">
        <v>80</v>
      </c>
      <c r="C154">
        <v>83452</v>
      </c>
      <c r="D154">
        <v>0</v>
      </c>
      <c r="E154">
        <v>0</v>
      </c>
      <c r="F154" s="1">
        <v>46142</v>
      </c>
      <c r="G154" s="1">
        <v>46142</v>
      </c>
      <c r="H154" s="1">
        <v>41117</v>
      </c>
      <c r="I154">
        <v>0</v>
      </c>
      <c r="J154">
        <v>0</v>
      </c>
      <c r="K154" s="11">
        <v>101.99</v>
      </c>
      <c r="L154">
        <v>0</v>
      </c>
      <c r="M154">
        <v>0</v>
      </c>
      <c r="N154" t="s">
        <v>92</v>
      </c>
      <c r="O154" t="s">
        <v>93</v>
      </c>
      <c r="P154">
        <v>999</v>
      </c>
      <c r="Q154" s="1" t="s">
        <v>94</v>
      </c>
      <c r="R154" s="12">
        <v>41117</v>
      </c>
      <c r="S154" s="12">
        <v>0</v>
      </c>
      <c r="T154" s="12">
        <v>-1013235.51</v>
      </c>
      <c r="U154" s="12">
        <v>-733.65</v>
      </c>
      <c r="V154" s="12">
        <v>-1013235.51</v>
      </c>
      <c r="W154" s="12">
        <v>0</v>
      </c>
      <c r="X154" s="12">
        <v>10132.36</v>
      </c>
      <c r="Y154" t="str">
        <f t="shared" si="47"/>
        <v>Sit.Normal</v>
      </c>
      <c r="Z154">
        <f t="shared" ref="Z154:Z156" si="49">IF(Y154="Sit.Normal",1,IF(Y154="Riesgo potencia",2,IF(Y154="Con Problemas",3,IF(Y154="Alto Riesgo",4,IF(Y154="Irrecuperable",5,IF(Y154="Irrec Disp Tecn",6,IF(Y154="Sin identificación",0,"")))))))</f>
        <v>1</v>
      </c>
      <c r="AB154">
        <f>VLOOKUP(A154,rubros_a_considerar!$A$2:$A$13,1,FALSE)</f>
        <v>131742001</v>
      </c>
      <c r="AC154" s="2">
        <f t="shared" si="46"/>
        <v>-1013235.51</v>
      </c>
      <c r="AD154" s="4">
        <f>IF(Z154&lt;=1,Diccionario!$M$2,Diccionario!$M$3)</f>
        <v>1.4999999999999999E-2</v>
      </c>
      <c r="AE154" s="93">
        <f t="shared" ref="AE154:AE156" si="50">1-(1-AD154)^(1/365)</f>
        <v>4.1406369609475746E-5</v>
      </c>
      <c r="AF154">
        <f t="shared" ref="AF154:AF156" si="51">+IFERROR(G154-$AR$1,0)</f>
        <v>0</v>
      </c>
      <c r="AG154" s="5">
        <f t="shared" ref="AG154:AG156" si="52">+IF(AF154&lt;=0,10*365,AF154)</f>
        <v>3650</v>
      </c>
      <c r="AH154">
        <f t="shared" ref="AH154:AH156" si="53">+IF(Z154&lt;=1,MIN(AG154,365),AG154)</f>
        <v>365</v>
      </c>
      <c r="AI154">
        <f t="shared" ref="AI154:AI156" si="54">+(1-(AG154+1)*(1-AE154)^AG154+AG154*(1-AE154)^(AG154+1))/((1-(1-AE154)^AG154)*AE154)-0.5</f>
        <v>1779.0468468185993</v>
      </c>
      <c r="AJ154" s="4">
        <f t="shared" ref="AJ154:AJ156" si="55">+IF(Z154&lt;3,AD154,1)</f>
        <v>1.4999999999999999E-2</v>
      </c>
      <c r="AK154">
        <f>IF(Z154&lt;=3,Diccionario!$O$2,IF(Z154=4,Diccionario!$O$5,Diccionario!$O$6))</f>
        <v>0.66499985814979368</v>
      </c>
      <c r="AL154">
        <f t="shared" ref="AL154:AL156" si="56">+IF(Z154&lt;=1,1,IF(Z154=2,2,3))</f>
        <v>1</v>
      </c>
      <c r="AM154" s="3">
        <f t="shared" si="48"/>
        <v>1013235.51</v>
      </c>
      <c r="AN154" s="95">
        <f>MIN(AJ154*AK154*AM154*(1+'[2]Pesos escenarios'!$F$8/2),AM154)</f>
        <v>13470.848369424257</v>
      </c>
      <c r="AO154" t="str">
        <f>IFERROR(VLOOKUP(A154,Diccionario!$C$2:$E$65,3,FALSE),"no")</f>
        <v>Tarjetas_de_Crédito</v>
      </c>
    </row>
    <row r="155" spans="1:41" x14ac:dyDescent="0.35">
      <c r="A155">
        <v>131742001</v>
      </c>
      <c r="B155">
        <v>80</v>
      </c>
      <c r="C155">
        <v>84446</v>
      </c>
      <c r="D155">
        <v>0</v>
      </c>
      <c r="E155">
        <v>0</v>
      </c>
      <c r="F155" s="1">
        <v>46142</v>
      </c>
      <c r="G155" s="1">
        <v>46142</v>
      </c>
      <c r="H155" s="1">
        <v>42262</v>
      </c>
      <c r="I155">
        <v>0</v>
      </c>
      <c r="J155">
        <v>0</v>
      </c>
      <c r="K155" s="11">
        <v>101.99</v>
      </c>
      <c r="L155">
        <v>0</v>
      </c>
      <c r="M155">
        <v>0</v>
      </c>
      <c r="N155" t="s">
        <v>92</v>
      </c>
      <c r="O155" t="s">
        <v>93</v>
      </c>
      <c r="P155">
        <v>999</v>
      </c>
      <c r="Q155" s="1" t="s">
        <v>94</v>
      </c>
      <c r="R155" s="12">
        <v>42262</v>
      </c>
      <c r="S155" s="12">
        <v>0</v>
      </c>
      <c r="T155" s="12">
        <v>-1026649.14</v>
      </c>
      <c r="U155" s="12">
        <v>-743.36</v>
      </c>
      <c r="V155" s="12">
        <v>-1026649.14</v>
      </c>
      <c r="W155" s="12">
        <v>0</v>
      </c>
      <c r="X155" s="12">
        <v>10266.49</v>
      </c>
      <c r="Y155" t="str">
        <f t="shared" si="47"/>
        <v>Sit.Normal</v>
      </c>
      <c r="Z155">
        <f t="shared" si="49"/>
        <v>1</v>
      </c>
      <c r="AB155">
        <f>VLOOKUP(A155,rubros_a_considerar!$A$2:$A$13,1,FALSE)</f>
        <v>131742001</v>
      </c>
      <c r="AC155" s="2">
        <f t="shared" si="46"/>
        <v>-1026649.14</v>
      </c>
      <c r="AD155" s="4">
        <f>IF(Z155&lt;=1,Diccionario!$M$2,Diccionario!$M$3)</f>
        <v>1.4999999999999999E-2</v>
      </c>
      <c r="AE155" s="93">
        <f t="shared" si="50"/>
        <v>4.1406369609475746E-5</v>
      </c>
      <c r="AF155">
        <f t="shared" si="51"/>
        <v>0</v>
      </c>
      <c r="AG155" s="5">
        <f t="shared" si="52"/>
        <v>3650</v>
      </c>
      <c r="AH155">
        <f t="shared" si="53"/>
        <v>365</v>
      </c>
      <c r="AI155">
        <f t="shared" si="54"/>
        <v>1779.0468468185993</v>
      </c>
      <c r="AJ155" s="4">
        <f t="shared" si="55"/>
        <v>1.4999999999999999E-2</v>
      </c>
      <c r="AK155">
        <f>IF(Z155&lt;=3,Diccionario!$O$2,IF(Z155=4,Diccionario!$O$5,Diccionario!$O$6))</f>
        <v>0.66499985814979368</v>
      </c>
      <c r="AL155">
        <f t="shared" si="56"/>
        <v>1</v>
      </c>
      <c r="AM155" s="3">
        <f t="shared" si="48"/>
        <v>1026649.14</v>
      </c>
      <c r="AN155" s="95">
        <f>MIN(AJ155*AK155*AM155*(1+'[2]Pesos escenarios'!$F$8/2),AM155)</f>
        <v>13649.181021636139</v>
      </c>
      <c r="AO155" t="str">
        <f>IFERROR(VLOOKUP(A155,Diccionario!$C$2:$E$65,3,FALSE),"no")</f>
        <v>Tarjetas_de_Crédito</v>
      </c>
    </row>
    <row r="156" spans="1:41" x14ac:dyDescent="0.35">
      <c r="A156">
        <v>131742001</v>
      </c>
      <c r="B156">
        <v>80</v>
      </c>
      <c r="C156">
        <v>19542</v>
      </c>
      <c r="D156">
        <v>0</v>
      </c>
      <c r="E156">
        <v>0</v>
      </c>
      <c r="F156" s="1">
        <v>46142</v>
      </c>
      <c r="G156" s="1">
        <v>46142</v>
      </c>
      <c r="H156" s="1">
        <v>38230</v>
      </c>
      <c r="I156">
        <v>0</v>
      </c>
      <c r="J156">
        <v>0</v>
      </c>
      <c r="K156" s="11">
        <v>101.99</v>
      </c>
      <c r="L156">
        <v>0</v>
      </c>
      <c r="M156">
        <v>0</v>
      </c>
      <c r="N156" t="s">
        <v>92</v>
      </c>
      <c r="O156" t="s">
        <v>93</v>
      </c>
      <c r="P156">
        <v>999</v>
      </c>
      <c r="Q156" s="1" t="s">
        <v>94</v>
      </c>
      <c r="R156" s="12">
        <v>38230</v>
      </c>
      <c r="S156" s="12">
        <v>0</v>
      </c>
      <c r="T156" s="12">
        <v>-1107516.48</v>
      </c>
      <c r="U156" s="12">
        <v>-801.91</v>
      </c>
      <c r="V156" s="12">
        <v>-1107516.48</v>
      </c>
      <c r="W156" s="12">
        <v>0</v>
      </c>
      <c r="X156" s="12">
        <v>11075.16</v>
      </c>
      <c r="Y156" t="str">
        <f t="shared" si="47"/>
        <v>Sit.Normal</v>
      </c>
      <c r="Z156">
        <f t="shared" si="49"/>
        <v>1</v>
      </c>
      <c r="AB156">
        <f>VLOOKUP(A156,rubros_a_considerar!$A$2:$A$13,1,FALSE)</f>
        <v>131742001</v>
      </c>
      <c r="AC156" s="2">
        <f t="shared" si="46"/>
        <v>-1107516.48</v>
      </c>
      <c r="AD156" s="4">
        <f>IF(Z156&lt;=1,Diccionario!$M$2,Diccionario!$M$3)</f>
        <v>1.4999999999999999E-2</v>
      </c>
      <c r="AE156" s="93">
        <f t="shared" si="50"/>
        <v>4.1406369609475746E-5</v>
      </c>
      <c r="AF156">
        <f t="shared" si="51"/>
        <v>0</v>
      </c>
      <c r="AG156" s="5">
        <f t="shared" si="52"/>
        <v>3650</v>
      </c>
      <c r="AH156">
        <f t="shared" si="53"/>
        <v>365</v>
      </c>
      <c r="AI156">
        <f t="shared" si="54"/>
        <v>1779.0468468185993</v>
      </c>
      <c r="AJ156" s="4">
        <f t="shared" si="55"/>
        <v>1.4999999999999999E-2</v>
      </c>
      <c r="AK156">
        <f>IF(Z156&lt;=3,Diccionario!$O$2,IF(Z156=4,Diccionario!$O$5,Diccionario!$O$6))</f>
        <v>0.66499985814979368</v>
      </c>
      <c r="AL156">
        <f t="shared" si="56"/>
        <v>1</v>
      </c>
      <c r="AM156" s="3">
        <f t="shared" si="48"/>
        <v>1107516.48</v>
      </c>
      <c r="AN156" s="95">
        <f>MIN(AJ156*AK156*AM156*(1+'[2]Pesos escenarios'!$F$8/2),AM156)</f>
        <v>14724.302910306107</v>
      </c>
      <c r="AO156" t="str">
        <f>IFERROR(VLOOKUP(A156,Diccionario!$C$2:$E$65,3,FALSE),"no")</f>
        <v>Tarjetas_de_Crédito</v>
      </c>
    </row>
    <row r="157" spans="1:41" x14ac:dyDescent="0.35">
      <c r="A157">
        <v>131742001</v>
      </c>
      <c r="B157">
        <v>80</v>
      </c>
      <c r="C157">
        <v>54516</v>
      </c>
      <c r="D157">
        <v>0</v>
      </c>
      <c r="E157">
        <v>0</v>
      </c>
      <c r="F157" s="1">
        <v>46142</v>
      </c>
      <c r="G157" s="1">
        <v>46142</v>
      </c>
      <c r="H157" s="1">
        <v>40588</v>
      </c>
      <c r="I157">
        <v>0</v>
      </c>
      <c r="J157">
        <v>0</v>
      </c>
      <c r="K157" s="11">
        <v>101.99</v>
      </c>
      <c r="L157">
        <v>0</v>
      </c>
      <c r="M157">
        <v>0</v>
      </c>
      <c r="N157" t="s">
        <v>92</v>
      </c>
      <c r="O157" t="s">
        <v>93</v>
      </c>
      <c r="P157">
        <v>999</v>
      </c>
      <c r="Q157" s="1" t="s">
        <v>94</v>
      </c>
      <c r="R157" s="12">
        <v>40588</v>
      </c>
      <c r="S157" s="12">
        <v>0</v>
      </c>
      <c r="T157" s="12">
        <v>-1109210.72</v>
      </c>
      <c r="U157" s="12">
        <v>-803.14</v>
      </c>
      <c r="V157" s="12">
        <v>-1109210.72</v>
      </c>
      <c r="W157" s="12">
        <v>0</v>
      </c>
      <c r="X157" s="12">
        <v>11092.11</v>
      </c>
      <c r="Y157" t="str">
        <f t="shared" ref="Y157:Y175" si="57">TRIM(O157)</f>
        <v>Sit.Normal</v>
      </c>
      <c r="Z157">
        <f t="shared" ref="Z157:Z175" si="58">IF(Y157="Sit.Normal",1,IF(Y157="Riesgo potencia",2,IF(Y157="Con Problemas",3,IF(Y157="Alto Riesgo",4,IF(Y157="Irrecuperable",5,IF(Y157="Irrec Disp Tecn",6,IF(Y157="Sin identificación",0,"")))))))</f>
        <v>1</v>
      </c>
      <c r="AB157">
        <f>VLOOKUP(A157,rubros_a_considerar!$A$2:$A$13,1,FALSE)</f>
        <v>131742001</v>
      </c>
      <c r="AC157" s="2">
        <f t="shared" ref="AC157:AC175" si="59">T157+W157</f>
        <v>-1109210.72</v>
      </c>
      <c r="AD157" s="4">
        <f>IF(Z157&lt;=1,Diccionario!$M$2,Diccionario!$M$3)</f>
        <v>1.4999999999999999E-2</v>
      </c>
      <c r="AE157" s="93">
        <f t="shared" ref="AE157:AE175" si="60">1-(1-AD157)^(1/365)</f>
        <v>4.1406369609475746E-5</v>
      </c>
      <c r="AF157">
        <f t="shared" ref="AF157:AF175" si="61">+IFERROR(G157-$AR$1,0)</f>
        <v>0</v>
      </c>
      <c r="AG157" s="5">
        <f t="shared" ref="AG157:AG175" si="62">+IF(AF157&lt;=0,10*365,AF157)</f>
        <v>3650</v>
      </c>
      <c r="AH157">
        <f t="shared" ref="AH157:AH175" si="63">+IF(Z157&lt;=1,MIN(AG157,365),AG157)</f>
        <v>365</v>
      </c>
      <c r="AI157">
        <f t="shared" ref="AI157:AI175" si="64">+(1-(AG157+1)*(1-AE157)^AG157+AG157*(1-AE157)^(AG157+1))/((1-(1-AE157)^AG157)*AE157)-0.5</f>
        <v>1779.0468468185993</v>
      </c>
      <c r="AJ157" s="4">
        <f t="shared" ref="AJ157:AJ175" si="65">+IF(Z157&lt;3,AD157,1)</f>
        <v>1.4999999999999999E-2</v>
      </c>
      <c r="AK157">
        <f>IF(Z157&lt;=3,Diccionario!$O$2,IF(Z157=4,Diccionario!$O$5,Diccionario!$O$6))</f>
        <v>0.66499985814979368</v>
      </c>
      <c r="AL157">
        <f t="shared" ref="AL157:AL175" si="66">+IF(Z157&lt;=1,1,IF(Z157=2,2,3))</f>
        <v>1</v>
      </c>
      <c r="AM157" s="3">
        <f t="shared" ref="AM157:AM174" si="67">+IF(AC157&lt;0,-AC157,0)</f>
        <v>1109210.72</v>
      </c>
      <c r="AN157" s="95">
        <f>MIN(AJ157*AK157*AM157*(1+'[2]Pesos escenarios'!$F$8/2),AM157)</f>
        <v>14746.827634238663</v>
      </c>
      <c r="AO157" t="str">
        <f>IFERROR(VLOOKUP(A157,Diccionario!$C$2:$E$65,3,FALSE),"no")</f>
        <v>Tarjetas_de_Crédito</v>
      </c>
    </row>
    <row r="158" spans="1:41" x14ac:dyDescent="0.35">
      <c r="A158">
        <v>131742001</v>
      </c>
      <c r="B158">
        <v>80</v>
      </c>
      <c r="C158">
        <v>86637</v>
      </c>
      <c r="D158">
        <v>0</v>
      </c>
      <c r="E158">
        <v>0</v>
      </c>
      <c r="F158" s="1">
        <v>46142</v>
      </c>
      <c r="G158" s="1">
        <v>46142</v>
      </c>
      <c r="H158" s="1">
        <v>45783</v>
      </c>
      <c r="I158">
        <v>0</v>
      </c>
      <c r="J158">
        <v>0</v>
      </c>
      <c r="K158" s="11">
        <v>101.99</v>
      </c>
      <c r="L158">
        <v>0</v>
      </c>
      <c r="M158">
        <v>0</v>
      </c>
      <c r="N158" t="s">
        <v>92</v>
      </c>
      <c r="O158" t="s">
        <v>97</v>
      </c>
      <c r="P158">
        <v>999</v>
      </c>
      <c r="Q158" s="1" t="s">
        <v>94</v>
      </c>
      <c r="R158" s="12">
        <v>45783</v>
      </c>
      <c r="S158" s="12">
        <v>0</v>
      </c>
      <c r="T158" s="12">
        <v>-1119578.05</v>
      </c>
      <c r="U158" s="12">
        <v>-810.64</v>
      </c>
      <c r="V158" s="12">
        <v>-1119578.05</v>
      </c>
      <c r="W158" s="12">
        <v>0</v>
      </c>
      <c r="X158" s="12">
        <v>559789.03</v>
      </c>
      <c r="Y158" t="str">
        <f t="shared" si="57"/>
        <v>Alto Riesgo</v>
      </c>
      <c r="Z158">
        <f t="shared" si="58"/>
        <v>4</v>
      </c>
      <c r="AB158">
        <f>VLOOKUP(A158,rubros_a_considerar!$A$2:$A$13,1,FALSE)</f>
        <v>131742001</v>
      </c>
      <c r="AC158" s="2">
        <f t="shared" si="59"/>
        <v>-1119578.05</v>
      </c>
      <c r="AD158" s="4">
        <f>IF(Z158&lt;=1,Diccionario!$M$2,Diccionario!$M$3)</f>
        <v>4.1599564264279444E-2</v>
      </c>
      <c r="AE158" s="93">
        <f t="shared" si="60"/>
        <v>1.1640307935334437E-4</v>
      </c>
      <c r="AF158">
        <f t="shared" si="61"/>
        <v>0</v>
      </c>
      <c r="AG158" s="5">
        <f t="shared" si="62"/>
        <v>3650</v>
      </c>
      <c r="AH158">
        <f t="shared" si="63"/>
        <v>3650</v>
      </c>
      <c r="AI158">
        <f t="shared" si="64"/>
        <v>1696.1480282233019</v>
      </c>
      <c r="AJ158" s="4">
        <f t="shared" si="65"/>
        <v>1</v>
      </c>
      <c r="AK158">
        <f>IF(Z158&lt;=3,Diccionario!$O$2,IF(Z158=4,Diccionario!$O$5,Diccionario!$O$6))</f>
        <v>0.92250106026350687</v>
      </c>
      <c r="AL158">
        <f t="shared" si="66"/>
        <v>3</v>
      </c>
      <c r="AM158" s="3">
        <f t="shared" si="67"/>
        <v>1119578.05</v>
      </c>
      <c r="AN158" s="95">
        <f>MIN(AJ158*AK158*AM158*(1+'[2]Pesos escenarios'!$F$8/2),AM158)</f>
        <v>1119578.05</v>
      </c>
      <c r="AO158" t="str">
        <f>IFERROR(VLOOKUP(A158,Diccionario!$C$2:$E$65,3,FALSE),"no")</f>
        <v>Tarjetas_de_Crédito</v>
      </c>
    </row>
    <row r="159" spans="1:41" x14ac:dyDescent="0.35">
      <c r="A159">
        <v>131742001</v>
      </c>
      <c r="B159">
        <v>80</v>
      </c>
      <c r="C159">
        <v>59128</v>
      </c>
      <c r="D159">
        <v>0</v>
      </c>
      <c r="E159">
        <v>0</v>
      </c>
      <c r="F159" s="1">
        <v>46142</v>
      </c>
      <c r="G159" s="1">
        <v>46142</v>
      </c>
      <c r="H159" s="1">
        <v>39491</v>
      </c>
      <c r="I159">
        <v>0</v>
      </c>
      <c r="J159">
        <v>0</v>
      </c>
      <c r="K159" s="11">
        <v>101.99</v>
      </c>
      <c r="L159">
        <v>0</v>
      </c>
      <c r="M159">
        <v>0</v>
      </c>
      <c r="N159" t="s">
        <v>92</v>
      </c>
      <c r="O159" t="s">
        <v>93</v>
      </c>
      <c r="P159">
        <v>999</v>
      </c>
      <c r="Q159" s="1" t="s">
        <v>94</v>
      </c>
      <c r="R159" s="12">
        <v>39491</v>
      </c>
      <c r="S159" s="12">
        <v>0</v>
      </c>
      <c r="T159" s="12">
        <v>-1124937.23</v>
      </c>
      <c r="U159" s="12">
        <v>-814.53</v>
      </c>
      <c r="V159" s="12">
        <v>-1124937.23</v>
      </c>
      <c r="W159" s="12">
        <v>0</v>
      </c>
      <c r="X159" s="12">
        <v>11249.37</v>
      </c>
      <c r="Y159" t="str">
        <f t="shared" si="57"/>
        <v>Sit.Normal</v>
      </c>
      <c r="Z159">
        <f t="shared" si="58"/>
        <v>1</v>
      </c>
      <c r="AB159">
        <f>VLOOKUP(A159,rubros_a_considerar!$A$2:$A$13,1,FALSE)</f>
        <v>131742001</v>
      </c>
      <c r="AC159" s="2">
        <f t="shared" si="59"/>
        <v>-1124937.23</v>
      </c>
      <c r="AD159" s="4">
        <f>IF(Z159&lt;=1,Diccionario!$M$2,Diccionario!$M$3)</f>
        <v>1.4999999999999999E-2</v>
      </c>
      <c r="AE159" s="93">
        <f t="shared" si="60"/>
        <v>4.1406369609475746E-5</v>
      </c>
      <c r="AF159">
        <f t="shared" si="61"/>
        <v>0</v>
      </c>
      <c r="AG159" s="5">
        <f t="shared" si="62"/>
        <v>3650</v>
      </c>
      <c r="AH159">
        <f t="shared" si="63"/>
        <v>365</v>
      </c>
      <c r="AI159">
        <f t="shared" si="64"/>
        <v>1779.0468468185993</v>
      </c>
      <c r="AJ159" s="4">
        <f t="shared" si="65"/>
        <v>1.4999999999999999E-2</v>
      </c>
      <c r="AK159">
        <f>IF(Z159&lt;=3,Diccionario!$O$2,IF(Z159=4,Diccionario!$O$5,Diccionario!$O$6))</f>
        <v>0.66499985814979368</v>
      </c>
      <c r="AL159">
        <f t="shared" si="66"/>
        <v>1</v>
      </c>
      <c r="AM159" s="3">
        <f t="shared" si="67"/>
        <v>1124937.23</v>
      </c>
      <c r="AN159" s="95">
        <f>MIN(AJ159*AK159*AM159*(1+'[2]Pesos escenarios'!$F$8/2),AM159)</f>
        <v>14955.909757298319</v>
      </c>
      <c r="AO159" t="str">
        <f>IFERROR(VLOOKUP(A159,Diccionario!$C$2:$E$65,3,FALSE),"no")</f>
        <v>Tarjetas_de_Crédito</v>
      </c>
    </row>
    <row r="160" spans="1:41" x14ac:dyDescent="0.35">
      <c r="A160">
        <v>131742001</v>
      </c>
      <c r="B160">
        <v>80</v>
      </c>
      <c r="C160">
        <v>85391</v>
      </c>
      <c r="D160">
        <v>0</v>
      </c>
      <c r="E160">
        <v>0</v>
      </c>
      <c r="F160" s="1">
        <v>46142</v>
      </c>
      <c r="G160" s="1">
        <v>46142</v>
      </c>
      <c r="H160" s="1">
        <v>43011</v>
      </c>
      <c r="I160">
        <v>0</v>
      </c>
      <c r="J160">
        <v>0</v>
      </c>
      <c r="K160" s="11">
        <v>101.99</v>
      </c>
      <c r="L160">
        <v>0</v>
      </c>
      <c r="M160">
        <v>0</v>
      </c>
      <c r="N160" t="s">
        <v>92</v>
      </c>
      <c r="O160" t="s">
        <v>93</v>
      </c>
      <c r="P160">
        <v>999</v>
      </c>
      <c r="Q160" s="1" t="s">
        <v>94</v>
      </c>
      <c r="R160" s="12">
        <v>43011</v>
      </c>
      <c r="S160" s="12">
        <v>0</v>
      </c>
      <c r="T160" s="12">
        <v>-1194237.3600000001</v>
      </c>
      <c r="U160" s="12">
        <v>-864.7</v>
      </c>
      <c r="V160" s="12">
        <v>-1194237.3600000001</v>
      </c>
      <c r="W160" s="12">
        <v>0</v>
      </c>
      <c r="X160" s="12">
        <v>11942.37</v>
      </c>
      <c r="Y160" t="str">
        <f t="shared" si="57"/>
        <v>Sit.Normal</v>
      </c>
      <c r="Z160">
        <f t="shared" si="58"/>
        <v>1</v>
      </c>
      <c r="AB160">
        <f>VLOOKUP(A160,rubros_a_considerar!$A$2:$A$13,1,FALSE)</f>
        <v>131742001</v>
      </c>
      <c r="AC160" s="2">
        <f t="shared" si="59"/>
        <v>-1194237.3600000001</v>
      </c>
      <c r="AD160" s="4">
        <f>IF(Z160&lt;=1,Diccionario!$M$2,Diccionario!$M$3)</f>
        <v>1.4999999999999999E-2</v>
      </c>
      <c r="AE160" s="93">
        <f t="shared" si="60"/>
        <v>4.1406369609475746E-5</v>
      </c>
      <c r="AF160">
        <f t="shared" si="61"/>
        <v>0</v>
      </c>
      <c r="AG160" s="5">
        <f t="shared" si="62"/>
        <v>3650</v>
      </c>
      <c r="AH160">
        <f t="shared" si="63"/>
        <v>365</v>
      </c>
      <c r="AI160">
        <f t="shared" si="64"/>
        <v>1779.0468468185993</v>
      </c>
      <c r="AJ160" s="4">
        <f t="shared" si="65"/>
        <v>1.4999999999999999E-2</v>
      </c>
      <c r="AK160">
        <f>IF(Z160&lt;=3,Diccionario!$O$2,IF(Z160=4,Diccionario!$O$5,Diccionario!$O$6))</f>
        <v>0.66499985814979368</v>
      </c>
      <c r="AL160">
        <f t="shared" si="66"/>
        <v>1</v>
      </c>
      <c r="AM160" s="3">
        <f t="shared" si="67"/>
        <v>1194237.3600000001</v>
      </c>
      <c r="AN160" s="95">
        <f>MIN(AJ160*AK160*AM160*(1+'[2]Pesos escenarios'!$F$8/2),AM160)</f>
        <v>15877.246933105936</v>
      </c>
      <c r="AO160" t="str">
        <f>IFERROR(VLOOKUP(A160,Diccionario!$C$2:$E$65,3,FALSE),"no")</f>
        <v>Tarjetas_de_Crédito</v>
      </c>
    </row>
    <row r="161" spans="1:41" x14ac:dyDescent="0.35">
      <c r="A161">
        <v>131742001</v>
      </c>
      <c r="B161">
        <v>80</v>
      </c>
      <c r="C161">
        <v>86330</v>
      </c>
      <c r="D161">
        <v>0</v>
      </c>
      <c r="E161">
        <v>0</v>
      </c>
      <c r="F161" s="1">
        <v>46142</v>
      </c>
      <c r="G161" s="1">
        <v>46142</v>
      </c>
      <c r="H161" s="1">
        <v>43700</v>
      </c>
      <c r="I161">
        <v>0</v>
      </c>
      <c r="J161">
        <v>0</v>
      </c>
      <c r="K161" s="11">
        <v>101.99</v>
      </c>
      <c r="L161">
        <v>0</v>
      </c>
      <c r="M161">
        <v>0</v>
      </c>
      <c r="N161" t="s">
        <v>92</v>
      </c>
      <c r="O161" t="s">
        <v>93</v>
      </c>
      <c r="P161">
        <v>0</v>
      </c>
      <c r="Q161" s="1" t="s">
        <v>94</v>
      </c>
      <c r="R161" s="12">
        <v>43700</v>
      </c>
      <c r="S161" s="12">
        <v>0</v>
      </c>
      <c r="T161" s="12">
        <v>-1383206.37</v>
      </c>
      <c r="U161" s="12">
        <v>-1001.53</v>
      </c>
      <c r="V161" s="12">
        <v>-1383206.37</v>
      </c>
      <c r="W161" s="12">
        <v>0</v>
      </c>
      <c r="X161" s="12">
        <v>13832.06</v>
      </c>
      <c r="Y161" t="str">
        <f t="shared" si="57"/>
        <v>Sit.Normal</v>
      </c>
      <c r="Z161">
        <f t="shared" si="58"/>
        <v>1</v>
      </c>
      <c r="AB161">
        <f>VLOOKUP(A161,rubros_a_considerar!$A$2:$A$13,1,FALSE)</f>
        <v>131742001</v>
      </c>
      <c r="AC161" s="2">
        <f t="shared" si="59"/>
        <v>-1383206.37</v>
      </c>
      <c r="AD161" s="4">
        <f>IF(Z161&lt;=1,Diccionario!$M$2,Diccionario!$M$3)</f>
        <v>1.4999999999999999E-2</v>
      </c>
      <c r="AE161" s="93">
        <f t="shared" si="60"/>
        <v>4.1406369609475746E-5</v>
      </c>
      <c r="AF161">
        <f t="shared" si="61"/>
        <v>0</v>
      </c>
      <c r="AG161" s="5">
        <f t="shared" si="62"/>
        <v>3650</v>
      </c>
      <c r="AH161">
        <f t="shared" si="63"/>
        <v>365</v>
      </c>
      <c r="AI161">
        <f t="shared" si="64"/>
        <v>1779.0468468185993</v>
      </c>
      <c r="AJ161" s="4">
        <f t="shared" si="65"/>
        <v>1.4999999999999999E-2</v>
      </c>
      <c r="AK161">
        <f>IF(Z161&lt;=3,Diccionario!$O$2,IF(Z161=4,Diccionario!$O$5,Diccionario!$O$6))</f>
        <v>0.66499985814979368</v>
      </c>
      <c r="AL161">
        <f t="shared" si="66"/>
        <v>1</v>
      </c>
      <c r="AM161" s="3">
        <f t="shared" si="67"/>
        <v>1383206.37</v>
      </c>
      <c r="AN161" s="95">
        <f>MIN(AJ161*AK161*AM161*(1+'[2]Pesos escenarios'!$F$8/2),AM161)</f>
        <v>18389.567963218884</v>
      </c>
      <c r="AO161" t="str">
        <f>IFERROR(VLOOKUP(A161,Diccionario!$C$2:$E$65,3,FALSE),"no")</f>
        <v>Tarjetas_de_Crédito</v>
      </c>
    </row>
    <row r="162" spans="1:41" x14ac:dyDescent="0.35">
      <c r="A162">
        <v>131742001</v>
      </c>
      <c r="B162">
        <v>80</v>
      </c>
      <c r="C162">
        <v>83020</v>
      </c>
      <c r="D162">
        <v>0</v>
      </c>
      <c r="E162">
        <v>0</v>
      </c>
      <c r="F162" s="1">
        <v>46142</v>
      </c>
      <c r="G162" s="1">
        <v>46142</v>
      </c>
      <c r="H162" s="1">
        <v>41789</v>
      </c>
      <c r="I162">
        <v>0</v>
      </c>
      <c r="J162">
        <v>0</v>
      </c>
      <c r="K162" s="11">
        <v>101.99</v>
      </c>
      <c r="L162">
        <v>0</v>
      </c>
      <c r="M162">
        <v>0</v>
      </c>
      <c r="N162" t="s">
        <v>92</v>
      </c>
      <c r="O162" t="s">
        <v>93</v>
      </c>
      <c r="P162">
        <v>990</v>
      </c>
      <c r="Q162" s="1" t="s">
        <v>94</v>
      </c>
      <c r="R162" s="12">
        <v>41792</v>
      </c>
      <c r="S162" s="12">
        <v>0</v>
      </c>
      <c r="T162" s="12">
        <v>-1428613.19</v>
      </c>
      <c r="U162" s="12">
        <v>-1034.4100000000001</v>
      </c>
      <c r="V162" s="12">
        <v>-1428613.19</v>
      </c>
      <c r="W162" s="12">
        <v>0</v>
      </c>
      <c r="X162" s="12">
        <v>14286.13</v>
      </c>
      <c r="Y162" t="str">
        <f t="shared" si="57"/>
        <v>Sit.Normal</v>
      </c>
      <c r="Z162">
        <f t="shared" si="58"/>
        <v>1</v>
      </c>
      <c r="AB162">
        <f>VLOOKUP(A162,rubros_a_considerar!$A$2:$A$13,1,FALSE)</f>
        <v>131742001</v>
      </c>
      <c r="AC162" s="2">
        <f t="shared" si="59"/>
        <v>-1428613.19</v>
      </c>
      <c r="AD162" s="4">
        <f>IF(Z162&lt;=1,Diccionario!$M$2,Diccionario!$M$3)</f>
        <v>1.4999999999999999E-2</v>
      </c>
      <c r="AE162" s="93">
        <f t="shared" si="60"/>
        <v>4.1406369609475746E-5</v>
      </c>
      <c r="AF162">
        <f t="shared" si="61"/>
        <v>0</v>
      </c>
      <c r="AG162" s="5">
        <f t="shared" si="62"/>
        <v>3650</v>
      </c>
      <c r="AH162">
        <f t="shared" si="63"/>
        <v>365</v>
      </c>
      <c r="AI162">
        <f t="shared" si="64"/>
        <v>1779.0468468185993</v>
      </c>
      <c r="AJ162" s="4">
        <f t="shared" si="65"/>
        <v>1.4999999999999999E-2</v>
      </c>
      <c r="AK162">
        <f>IF(Z162&lt;=3,Diccionario!$O$2,IF(Z162=4,Diccionario!$O$5,Diccionario!$O$6))</f>
        <v>0.66499985814979368</v>
      </c>
      <c r="AL162">
        <f t="shared" si="66"/>
        <v>1</v>
      </c>
      <c r="AM162" s="3">
        <f t="shared" si="67"/>
        <v>1428613.19</v>
      </c>
      <c r="AN162" s="95">
        <f>MIN(AJ162*AK162*AM162*(1+'[2]Pesos escenarios'!$F$8/2),AM162)</f>
        <v>18993.24635893336</v>
      </c>
      <c r="AO162" t="str">
        <f>IFERROR(VLOOKUP(A162,Diccionario!$C$2:$E$65,3,FALSE),"no")</f>
        <v>Tarjetas_de_Crédito</v>
      </c>
    </row>
    <row r="163" spans="1:41" x14ac:dyDescent="0.35">
      <c r="A163">
        <v>131742001</v>
      </c>
      <c r="B163">
        <v>80</v>
      </c>
      <c r="C163">
        <v>83994</v>
      </c>
      <c r="D163">
        <v>0</v>
      </c>
      <c r="E163">
        <v>0</v>
      </c>
      <c r="F163" s="1">
        <v>46142</v>
      </c>
      <c r="G163" s="1">
        <v>46142</v>
      </c>
      <c r="H163" s="1">
        <v>41506</v>
      </c>
      <c r="I163">
        <v>0</v>
      </c>
      <c r="J163">
        <v>0</v>
      </c>
      <c r="K163" s="11">
        <v>101.99</v>
      </c>
      <c r="L163">
        <v>0</v>
      </c>
      <c r="M163">
        <v>0</v>
      </c>
      <c r="N163" t="s">
        <v>92</v>
      </c>
      <c r="O163" t="s">
        <v>93</v>
      </c>
      <c r="P163">
        <v>999</v>
      </c>
      <c r="Q163" s="1" t="s">
        <v>94</v>
      </c>
      <c r="R163" s="12">
        <v>41506</v>
      </c>
      <c r="S163" s="12">
        <v>0</v>
      </c>
      <c r="T163" s="12">
        <v>-1571338.89</v>
      </c>
      <c r="U163" s="12">
        <v>-1137.75</v>
      </c>
      <c r="V163" s="12">
        <v>-1571338.89</v>
      </c>
      <c r="W163" s="12">
        <v>0</v>
      </c>
      <c r="X163" s="12">
        <v>15713.39</v>
      </c>
      <c r="Y163" t="str">
        <f t="shared" si="57"/>
        <v>Sit.Normal</v>
      </c>
      <c r="Z163">
        <f t="shared" si="58"/>
        <v>1</v>
      </c>
      <c r="AB163">
        <f>VLOOKUP(A163,rubros_a_considerar!$A$2:$A$13,1,FALSE)</f>
        <v>131742001</v>
      </c>
      <c r="AC163" s="2">
        <f t="shared" si="59"/>
        <v>-1571338.89</v>
      </c>
      <c r="AD163" s="4">
        <f>IF(Z163&lt;=1,Diccionario!$M$2,Diccionario!$M$3)</f>
        <v>1.4999999999999999E-2</v>
      </c>
      <c r="AE163" s="93">
        <f t="shared" si="60"/>
        <v>4.1406369609475746E-5</v>
      </c>
      <c r="AF163">
        <f t="shared" si="61"/>
        <v>0</v>
      </c>
      <c r="AG163" s="5">
        <f t="shared" si="62"/>
        <v>3650</v>
      </c>
      <c r="AH163">
        <f t="shared" si="63"/>
        <v>365</v>
      </c>
      <c r="AI163">
        <f t="shared" si="64"/>
        <v>1779.0468468185993</v>
      </c>
      <c r="AJ163" s="4">
        <f t="shared" si="65"/>
        <v>1.4999999999999999E-2</v>
      </c>
      <c r="AK163">
        <f>IF(Z163&lt;=3,Diccionario!$O$2,IF(Z163=4,Diccionario!$O$5,Diccionario!$O$6))</f>
        <v>0.66499985814979368</v>
      </c>
      <c r="AL163">
        <f t="shared" si="66"/>
        <v>1</v>
      </c>
      <c r="AM163" s="3">
        <f t="shared" si="67"/>
        <v>1571338.89</v>
      </c>
      <c r="AN163" s="95">
        <f>MIN(AJ163*AK163*AM163*(1+'[2]Pesos escenarios'!$F$8/2),AM163)</f>
        <v>20890.767955980362</v>
      </c>
      <c r="AO163" t="str">
        <f>IFERROR(VLOOKUP(A163,Diccionario!$C$2:$E$65,3,FALSE),"no")</f>
        <v>Tarjetas_de_Crédito</v>
      </c>
    </row>
    <row r="164" spans="1:41" x14ac:dyDescent="0.35">
      <c r="A164">
        <v>131742001</v>
      </c>
      <c r="B164">
        <v>80</v>
      </c>
      <c r="C164">
        <v>54541</v>
      </c>
      <c r="D164">
        <v>0</v>
      </c>
      <c r="E164">
        <v>0</v>
      </c>
      <c r="F164" s="1">
        <v>46142</v>
      </c>
      <c r="G164" s="1">
        <v>46142</v>
      </c>
      <c r="H164" s="1">
        <v>42220</v>
      </c>
      <c r="I164">
        <v>0</v>
      </c>
      <c r="J164">
        <v>0</v>
      </c>
      <c r="K164" s="11">
        <v>101.99</v>
      </c>
      <c r="L164">
        <v>0</v>
      </c>
      <c r="M164">
        <v>0</v>
      </c>
      <c r="N164" t="s">
        <v>92</v>
      </c>
      <c r="O164" t="s">
        <v>93</v>
      </c>
      <c r="P164">
        <v>999</v>
      </c>
      <c r="Q164" s="1" t="s">
        <v>94</v>
      </c>
      <c r="R164" s="12">
        <v>42221</v>
      </c>
      <c r="S164" s="12">
        <v>0</v>
      </c>
      <c r="T164" s="12">
        <v>-1594388.79</v>
      </c>
      <c r="U164" s="12">
        <v>-1154.44</v>
      </c>
      <c r="V164" s="12">
        <v>-1594388.79</v>
      </c>
      <c r="W164" s="12">
        <v>0</v>
      </c>
      <c r="X164" s="12">
        <v>15943.89</v>
      </c>
      <c r="Y164" t="str">
        <f t="shared" si="57"/>
        <v>Sit.Normal</v>
      </c>
      <c r="Z164">
        <f t="shared" si="58"/>
        <v>1</v>
      </c>
      <c r="AB164">
        <f>VLOOKUP(A164,rubros_a_considerar!$A$2:$A$13,1,FALSE)</f>
        <v>131742001</v>
      </c>
      <c r="AC164" s="2">
        <f t="shared" si="59"/>
        <v>-1594388.79</v>
      </c>
      <c r="AD164" s="4">
        <f>IF(Z164&lt;=1,Diccionario!$M$2,Diccionario!$M$3)</f>
        <v>1.4999999999999999E-2</v>
      </c>
      <c r="AE164" s="93">
        <f t="shared" si="60"/>
        <v>4.1406369609475746E-5</v>
      </c>
      <c r="AF164">
        <f t="shared" si="61"/>
        <v>0</v>
      </c>
      <c r="AG164" s="5">
        <f t="shared" si="62"/>
        <v>3650</v>
      </c>
      <c r="AH164">
        <f t="shared" si="63"/>
        <v>365</v>
      </c>
      <c r="AI164">
        <f t="shared" si="64"/>
        <v>1779.0468468185993</v>
      </c>
      <c r="AJ164" s="4">
        <f t="shared" si="65"/>
        <v>1.4999999999999999E-2</v>
      </c>
      <c r="AK164">
        <f>IF(Z164&lt;=3,Diccionario!$O$2,IF(Z164=4,Diccionario!$O$5,Diccionario!$O$6))</f>
        <v>0.66499985814979368</v>
      </c>
      <c r="AL164">
        <f t="shared" si="66"/>
        <v>1</v>
      </c>
      <c r="AM164" s="3">
        <f t="shared" si="67"/>
        <v>1594388.79</v>
      </c>
      <c r="AN164" s="95">
        <f>MIN(AJ164*AK164*AM164*(1+'[2]Pesos escenarios'!$F$8/2),AM164)</f>
        <v>21197.213698126128</v>
      </c>
      <c r="AO164" t="str">
        <f>IFERROR(VLOOKUP(A164,Diccionario!$C$2:$E$65,3,FALSE),"no")</f>
        <v>Tarjetas_de_Crédito</v>
      </c>
    </row>
    <row r="165" spans="1:41" x14ac:dyDescent="0.35">
      <c r="A165">
        <v>131742001</v>
      </c>
      <c r="B165">
        <v>80</v>
      </c>
      <c r="C165">
        <v>2021</v>
      </c>
      <c r="D165">
        <v>0</v>
      </c>
      <c r="E165">
        <v>0</v>
      </c>
      <c r="F165" s="1">
        <v>46142</v>
      </c>
      <c r="G165" s="1">
        <v>46142</v>
      </c>
      <c r="H165" s="1">
        <v>38230</v>
      </c>
      <c r="I165">
        <v>0</v>
      </c>
      <c r="J165">
        <v>0</v>
      </c>
      <c r="K165" s="11">
        <v>101.99</v>
      </c>
      <c r="L165">
        <v>0</v>
      </c>
      <c r="M165">
        <v>0</v>
      </c>
      <c r="N165" t="s">
        <v>92</v>
      </c>
      <c r="O165" t="s">
        <v>93</v>
      </c>
      <c r="P165">
        <v>999</v>
      </c>
      <c r="Q165" s="1" t="s">
        <v>94</v>
      </c>
      <c r="R165" s="12">
        <v>38230</v>
      </c>
      <c r="S165" s="12">
        <v>0</v>
      </c>
      <c r="T165" s="12">
        <v>-1695755.99</v>
      </c>
      <c r="U165" s="12">
        <v>-1227.83</v>
      </c>
      <c r="V165" s="12">
        <v>-1695755.99</v>
      </c>
      <c r="W165" s="12">
        <v>0</v>
      </c>
      <c r="X165" s="12">
        <v>16957.560000000001</v>
      </c>
      <c r="Y165" t="str">
        <f t="shared" si="57"/>
        <v>Sit.Normal</v>
      </c>
      <c r="Z165">
        <f t="shared" si="58"/>
        <v>1</v>
      </c>
      <c r="AB165">
        <f>VLOOKUP(A165,rubros_a_considerar!$A$2:$A$13,1,FALSE)</f>
        <v>131742001</v>
      </c>
      <c r="AC165" s="2">
        <f t="shared" si="59"/>
        <v>-1695755.99</v>
      </c>
      <c r="AD165" s="4">
        <f>IF(Z165&lt;=1,Diccionario!$M$2,Diccionario!$M$3)</f>
        <v>1.4999999999999999E-2</v>
      </c>
      <c r="AE165" s="93">
        <f t="shared" si="60"/>
        <v>4.1406369609475746E-5</v>
      </c>
      <c r="AF165">
        <f t="shared" si="61"/>
        <v>0</v>
      </c>
      <c r="AG165" s="5">
        <f t="shared" si="62"/>
        <v>3650</v>
      </c>
      <c r="AH165">
        <f t="shared" si="63"/>
        <v>365</v>
      </c>
      <c r="AI165">
        <f t="shared" si="64"/>
        <v>1779.0468468185993</v>
      </c>
      <c r="AJ165" s="4">
        <f t="shared" si="65"/>
        <v>1.4999999999999999E-2</v>
      </c>
      <c r="AK165">
        <f>IF(Z165&lt;=3,Diccionario!$O$2,IF(Z165=4,Diccionario!$O$5,Diccionario!$O$6))</f>
        <v>0.66499985814979368</v>
      </c>
      <c r="AL165">
        <f t="shared" si="66"/>
        <v>1</v>
      </c>
      <c r="AM165" s="3">
        <f t="shared" si="67"/>
        <v>1695755.99</v>
      </c>
      <c r="AN165" s="95">
        <f>MIN(AJ165*AK165*AM165*(1+'[2]Pesos escenarios'!$F$8/2),AM165)</f>
        <v>22544.878843451621</v>
      </c>
      <c r="AO165" t="str">
        <f>IFERROR(VLOOKUP(A165,Diccionario!$C$2:$E$65,3,FALSE),"no")</f>
        <v>Tarjetas_de_Crédito</v>
      </c>
    </row>
    <row r="166" spans="1:41" x14ac:dyDescent="0.35">
      <c r="A166">
        <v>131742001</v>
      </c>
      <c r="B166">
        <v>80</v>
      </c>
      <c r="C166">
        <v>54718</v>
      </c>
      <c r="D166">
        <v>0</v>
      </c>
      <c r="E166">
        <v>0</v>
      </c>
      <c r="F166" s="1">
        <v>46142</v>
      </c>
      <c r="G166" s="1">
        <v>46142</v>
      </c>
      <c r="H166" s="1">
        <v>38083</v>
      </c>
      <c r="I166">
        <v>0</v>
      </c>
      <c r="J166">
        <v>0</v>
      </c>
      <c r="K166" s="11">
        <v>101.99</v>
      </c>
      <c r="L166">
        <v>0</v>
      </c>
      <c r="M166">
        <v>0</v>
      </c>
      <c r="N166" t="s">
        <v>92</v>
      </c>
      <c r="O166" t="s">
        <v>93</v>
      </c>
      <c r="P166">
        <v>999</v>
      </c>
      <c r="Q166" s="1" t="s">
        <v>94</v>
      </c>
      <c r="R166" s="12">
        <v>38083</v>
      </c>
      <c r="S166" s="12">
        <v>0</v>
      </c>
      <c r="T166" s="12">
        <v>-1816888.74</v>
      </c>
      <c r="U166" s="12">
        <v>-1315.54</v>
      </c>
      <c r="V166" s="12">
        <v>-1816888.74</v>
      </c>
      <c r="W166" s="12">
        <v>0</v>
      </c>
      <c r="X166" s="12">
        <v>18168.89</v>
      </c>
      <c r="Y166" t="str">
        <f t="shared" si="57"/>
        <v>Sit.Normal</v>
      </c>
      <c r="Z166">
        <f t="shared" si="58"/>
        <v>1</v>
      </c>
      <c r="AB166">
        <f>VLOOKUP(A166,rubros_a_considerar!$A$2:$A$13,1,FALSE)</f>
        <v>131742001</v>
      </c>
      <c r="AC166" s="2">
        <f t="shared" si="59"/>
        <v>-1816888.74</v>
      </c>
      <c r="AD166" s="4">
        <f>IF(Z166&lt;=1,Diccionario!$M$2,Diccionario!$M$3)</f>
        <v>1.4999999999999999E-2</v>
      </c>
      <c r="AE166" s="93">
        <f t="shared" si="60"/>
        <v>4.1406369609475746E-5</v>
      </c>
      <c r="AF166">
        <f t="shared" si="61"/>
        <v>0</v>
      </c>
      <c r="AG166" s="5">
        <f t="shared" si="62"/>
        <v>3650</v>
      </c>
      <c r="AH166">
        <f t="shared" si="63"/>
        <v>365</v>
      </c>
      <c r="AI166">
        <f t="shared" si="64"/>
        <v>1779.0468468185993</v>
      </c>
      <c r="AJ166" s="4">
        <f t="shared" si="65"/>
        <v>1.4999999999999999E-2</v>
      </c>
      <c r="AK166">
        <f>IF(Z166&lt;=3,Diccionario!$O$2,IF(Z166=4,Diccionario!$O$5,Diccionario!$O$6))</f>
        <v>0.66499985814979368</v>
      </c>
      <c r="AL166">
        <f t="shared" si="66"/>
        <v>1</v>
      </c>
      <c r="AM166" s="3">
        <f t="shared" si="67"/>
        <v>1816888.74</v>
      </c>
      <c r="AN166" s="95">
        <f>MIN(AJ166*AK166*AM166*(1+'[2]Pesos escenarios'!$F$8/2),AM166)</f>
        <v>24155.324679308062</v>
      </c>
      <c r="AO166" t="str">
        <f>IFERROR(VLOOKUP(A166,Diccionario!$C$2:$E$65,3,FALSE),"no")</f>
        <v>Tarjetas_de_Crédito</v>
      </c>
    </row>
    <row r="167" spans="1:41" x14ac:dyDescent="0.35">
      <c r="A167">
        <v>131742001</v>
      </c>
      <c r="B167">
        <v>80</v>
      </c>
      <c r="C167">
        <v>1645</v>
      </c>
      <c r="D167">
        <v>0</v>
      </c>
      <c r="E167">
        <v>0</v>
      </c>
      <c r="F167" s="1">
        <v>46142</v>
      </c>
      <c r="G167" s="1">
        <v>46142</v>
      </c>
      <c r="H167" s="1">
        <v>43294</v>
      </c>
      <c r="I167">
        <v>0</v>
      </c>
      <c r="J167">
        <v>0</v>
      </c>
      <c r="K167" s="11">
        <v>101.99</v>
      </c>
      <c r="L167">
        <v>0</v>
      </c>
      <c r="M167">
        <v>0</v>
      </c>
      <c r="N167" t="s">
        <v>92</v>
      </c>
      <c r="O167" t="s">
        <v>93</v>
      </c>
      <c r="P167">
        <v>332</v>
      </c>
      <c r="Q167" s="1" t="s">
        <v>95</v>
      </c>
      <c r="R167" s="12">
        <v>43294</v>
      </c>
      <c r="S167" s="12">
        <v>0</v>
      </c>
      <c r="T167" s="12">
        <v>-2040309.16</v>
      </c>
      <c r="U167" s="12">
        <v>-1477.31</v>
      </c>
      <c r="V167" s="12">
        <v>-2040309.16</v>
      </c>
      <c r="W167" s="12">
        <v>0</v>
      </c>
      <c r="X167" s="12">
        <v>20403.09</v>
      </c>
      <c r="Y167" t="str">
        <f t="shared" si="57"/>
        <v>Sit.Normal</v>
      </c>
      <c r="Z167">
        <f t="shared" si="58"/>
        <v>1</v>
      </c>
      <c r="AB167">
        <f>VLOOKUP(A167,rubros_a_considerar!$A$2:$A$13,1,FALSE)</f>
        <v>131742001</v>
      </c>
      <c r="AC167" s="2">
        <f t="shared" si="59"/>
        <v>-2040309.16</v>
      </c>
      <c r="AD167" s="4">
        <f>IF(Z167&lt;=1,Diccionario!$M$2,Diccionario!$M$3)</f>
        <v>1.4999999999999999E-2</v>
      </c>
      <c r="AE167" s="93">
        <f t="shared" si="60"/>
        <v>4.1406369609475746E-5</v>
      </c>
      <c r="AF167">
        <f t="shared" si="61"/>
        <v>0</v>
      </c>
      <c r="AG167" s="5">
        <f t="shared" si="62"/>
        <v>3650</v>
      </c>
      <c r="AH167">
        <f t="shared" si="63"/>
        <v>365</v>
      </c>
      <c r="AI167">
        <f t="shared" si="64"/>
        <v>1779.0468468185993</v>
      </c>
      <c r="AJ167" s="4">
        <f t="shared" si="65"/>
        <v>1.4999999999999999E-2</v>
      </c>
      <c r="AK167">
        <f>IF(Z167&lt;=3,Diccionario!$O$2,IF(Z167=4,Diccionario!$O$5,Diccionario!$O$6))</f>
        <v>0.66499985814979368</v>
      </c>
      <c r="AL167">
        <f t="shared" si="66"/>
        <v>1</v>
      </c>
      <c r="AM167" s="3">
        <f t="shared" si="67"/>
        <v>2040309.16</v>
      </c>
      <c r="AN167" s="95">
        <f>MIN(AJ167*AK167*AM167*(1+'[2]Pesos escenarios'!$F$8/2),AM167)</f>
        <v>27125.673202183145</v>
      </c>
      <c r="AO167" t="str">
        <f>IFERROR(VLOOKUP(A167,Diccionario!$C$2:$E$65,3,FALSE),"no")</f>
        <v>Tarjetas_de_Crédito</v>
      </c>
    </row>
    <row r="168" spans="1:41" x14ac:dyDescent="0.35">
      <c r="A168">
        <v>131742001</v>
      </c>
      <c r="B168">
        <v>80</v>
      </c>
      <c r="C168">
        <v>58440</v>
      </c>
      <c r="D168">
        <v>0</v>
      </c>
      <c r="E168">
        <v>0</v>
      </c>
      <c r="F168" s="1">
        <v>46142</v>
      </c>
      <c r="G168" s="1">
        <v>46142</v>
      </c>
      <c r="H168" s="1">
        <v>38595</v>
      </c>
      <c r="I168">
        <v>0</v>
      </c>
      <c r="J168">
        <v>0</v>
      </c>
      <c r="K168" s="11">
        <v>101.99</v>
      </c>
      <c r="L168">
        <v>0</v>
      </c>
      <c r="M168">
        <v>0</v>
      </c>
      <c r="N168" t="s">
        <v>92</v>
      </c>
      <c r="O168" t="s">
        <v>93</v>
      </c>
      <c r="P168">
        <v>999</v>
      </c>
      <c r="Q168" s="1" t="s">
        <v>94</v>
      </c>
      <c r="R168" s="12">
        <v>38595</v>
      </c>
      <c r="S168" s="12">
        <v>0</v>
      </c>
      <c r="T168" s="12">
        <v>-2187084.3199999998</v>
      </c>
      <c r="U168" s="12">
        <v>-1583.59</v>
      </c>
      <c r="V168" s="12">
        <v>-2187084.3199999998</v>
      </c>
      <c r="W168" s="12">
        <v>0</v>
      </c>
      <c r="X168" s="12">
        <v>21870.84</v>
      </c>
      <c r="Y168" t="str">
        <f t="shared" si="57"/>
        <v>Sit.Normal</v>
      </c>
      <c r="Z168">
        <f t="shared" si="58"/>
        <v>1</v>
      </c>
      <c r="AB168">
        <f>VLOOKUP(A168,rubros_a_considerar!$A$2:$A$13,1,FALSE)</f>
        <v>131742001</v>
      </c>
      <c r="AC168" s="2">
        <f t="shared" si="59"/>
        <v>-2187084.3199999998</v>
      </c>
      <c r="AD168" s="4">
        <f>IF(Z168&lt;=1,Diccionario!$M$2,Diccionario!$M$3)</f>
        <v>1.4999999999999999E-2</v>
      </c>
      <c r="AE168" s="93">
        <f t="shared" si="60"/>
        <v>4.1406369609475746E-5</v>
      </c>
      <c r="AF168">
        <f t="shared" si="61"/>
        <v>0</v>
      </c>
      <c r="AG168" s="5">
        <f t="shared" si="62"/>
        <v>3650</v>
      </c>
      <c r="AH168">
        <f t="shared" si="63"/>
        <v>365</v>
      </c>
      <c r="AI168">
        <f t="shared" si="64"/>
        <v>1779.0468468185993</v>
      </c>
      <c r="AJ168" s="4">
        <f t="shared" si="65"/>
        <v>1.4999999999999999E-2</v>
      </c>
      <c r="AK168">
        <f>IF(Z168&lt;=3,Diccionario!$O$2,IF(Z168=4,Diccionario!$O$5,Diccionario!$O$6))</f>
        <v>0.66499985814979368</v>
      </c>
      <c r="AL168">
        <f t="shared" si="66"/>
        <v>1</v>
      </c>
      <c r="AM168" s="3">
        <f t="shared" si="67"/>
        <v>2187084.3199999998</v>
      </c>
      <c r="AN168" s="95">
        <f>MIN(AJ168*AK168*AM168*(1+'[2]Pesos escenarios'!$F$8/2),AM168)</f>
        <v>29077.031899390651</v>
      </c>
      <c r="AO168" t="str">
        <f>IFERROR(VLOOKUP(A168,Diccionario!$C$2:$E$65,3,FALSE),"no")</f>
        <v>Tarjetas_de_Crédito</v>
      </c>
    </row>
    <row r="169" spans="1:41" x14ac:dyDescent="0.35">
      <c r="A169">
        <v>135742001</v>
      </c>
      <c r="B169">
        <v>2</v>
      </c>
      <c r="C169">
        <v>11623</v>
      </c>
      <c r="D169">
        <v>0</v>
      </c>
      <c r="E169">
        <v>0</v>
      </c>
      <c r="F169" s="1">
        <v>46142</v>
      </c>
      <c r="G169" s="1">
        <v>46142</v>
      </c>
      <c r="H169" s="1">
        <v>45386</v>
      </c>
      <c r="I169">
        <v>0</v>
      </c>
      <c r="J169">
        <v>0</v>
      </c>
      <c r="K169" s="11">
        <v>0</v>
      </c>
      <c r="L169">
        <v>0</v>
      </c>
      <c r="M169">
        <v>0</v>
      </c>
      <c r="N169" t="s">
        <v>92</v>
      </c>
      <c r="O169" t="s">
        <v>93</v>
      </c>
      <c r="P169">
        <v>999</v>
      </c>
      <c r="Q169" s="1" t="s">
        <v>94</v>
      </c>
      <c r="R169" s="12">
        <v>45386</v>
      </c>
      <c r="S169" s="12">
        <v>0</v>
      </c>
      <c r="T169" s="12">
        <v>-2518676.06</v>
      </c>
      <c r="U169" s="12">
        <v>-1823.68</v>
      </c>
      <c r="V169" s="12">
        <v>-1823.68</v>
      </c>
      <c r="W169" s="12">
        <v>0</v>
      </c>
      <c r="X169" s="12">
        <v>18.239999999999998</v>
      </c>
      <c r="Y169" t="str">
        <f t="shared" si="57"/>
        <v>Sit.Normal</v>
      </c>
      <c r="Z169">
        <f t="shared" si="58"/>
        <v>1</v>
      </c>
      <c r="AB169">
        <f>VLOOKUP(A169,rubros_a_considerar!$A$2:$A$13,1,FALSE)</f>
        <v>135742001</v>
      </c>
      <c r="AC169" s="2">
        <f t="shared" si="59"/>
        <v>-2518676.06</v>
      </c>
      <c r="AD169" s="4">
        <f>IF(Z169&lt;=1,Diccionario!$M$2,Diccionario!$M$3)</f>
        <v>1.4999999999999999E-2</v>
      </c>
      <c r="AE169" s="93">
        <f t="shared" si="60"/>
        <v>4.1406369609475746E-5</v>
      </c>
      <c r="AF169">
        <f t="shared" si="61"/>
        <v>0</v>
      </c>
      <c r="AG169" s="5">
        <f t="shared" si="62"/>
        <v>3650</v>
      </c>
      <c r="AH169">
        <f t="shared" si="63"/>
        <v>365</v>
      </c>
      <c r="AI169">
        <f t="shared" si="64"/>
        <v>1779.0468468185993</v>
      </c>
      <c r="AJ169" s="4">
        <f t="shared" si="65"/>
        <v>1.4999999999999999E-2</v>
      </c>
      <c r="AK169">
        <f>IF(Z169&lt;=3,Diccionario!$O$2,IF(Z169=4,Diccionario!$O$5,Diccionario!$O$6))</f>
        <v>0.66499985814979368</v>
      </c>
      <c r="AL169">
        <f t="shared" si="66"/>
        <v>1</v>
      </c>
      <c r="AM169" s="3">
        <f t="shared" si="67"/>
        <v>2518676.06</v>
      </c>
      <c r="AN169" s="95">
        <f>MIN(AJ169*AK169*AM169*(1+'[2]Pesos escenarios'!$F$8/2),AM169)</f>
        <v>33485.505552365525</v>
      </c>
      <c r="AO169" t="str">
        <f>IFERROR(VLOOKUP(A169,Diccionario!$C$2:$E$65,3,FALSE),"no")</f>
        <v>Tarjetas_de_Crédito</v>
      </c>
    </row>
    <row r="170" spans="1:41" x14ac:dyDescent="0.35">
      <c r="A170">
        <v>131742001</v>
      </c>
      <c r="B170">
        <v>80</v>
      </c>
      <c r="C170">
        <v>11623</v>
      </c>
      <c r="D170">
        <v>0</v>
      </c>
      <c r="E170">
        <v>0</v>
      </c>
      <c r="F170" s="1">
        <v>46142</v>
      </c>
      <c r="G170" s="1">
        <v>46142</v>
      </c>
      <c r="H170" s="1">
        <v>41382</v>
      </c>
      <c r="I170">
        <v>0</v>
      </c>
      <c r="J170">
        <v>0</v>
      </c>
      <c r="K170" s="11">
        <v>101.99</v>
      </c>
      <c r="L170">
        <v>0</v>
      </c>
      <c r="M170">
        <v>0</v>
      </c>
      <c r="N170" t="s">
        <v>92</v>
      </c>
      <c r="O170" t="s">
        <v>93</v>
      </c>
      <c r="P170">
        <v>999</v>
      </c>
      <c r="Q170" s="1" t="s">
        <v>94</v>
      </c>
      <c r="R170" s="12">
        <v>41382</v>
      </c>
      <c r="S170" s="12">
        <v>0</v>
      </c>
      <c r="T170" s="12">
        <v>-2900689.58</v>
      </c>
      <c r="U170" s="12">
        <v>-2100.2800000000002</v>
      </c>
      <c r="V170" s="12">
        <v>-2900689.58</v>
      </c>
      <c r="W170" s="12">
        <v>0</v>
      </c>
      <c r="X170" s="12">
        <v>29006.9</v>
      </c>
      <c r="Y170" t="str">
        <f t="shared" si="57"/>
        <v>Sit.Normal</v>
      </c>
      <c r="Z170">
        <f t="shared" si="58"/>
        <v>1</v>
      </c>
      <c r="AB170">
        <f>VLOOKUP(A170,rubros_a_considerar!$A$2:$A$13,1,FALSE)</f>
        <v>131742001</v>
      </c>
      <c r="AC170" s="2">
        <f t="shared" si="59"/>
        <v>-2900689.58</v>
      </c>
      <c r="AD170" s="4">
        <f>IF(Z170&lt;=1,Diccionario!$M$2,Diccionario!$M$3)</f>
        <v>1.4999999999999999E-2</v>
      </c>
      <c r="AE170" s="93">
        <f t="shared" si="60"/>
        <v>4.1406369609475746E-5</v>
      </c>
      <c r="AF170">
        <f t="shared" si="61"/>
        <v>0</v>
      </c>
      <c r="AG170" s="5">
        <f t="shared" si="62"/>
        <v>3650</v>
      </c>
      <c r="AH170">
        <f t="shared" si="63"/>
        <v>365</v>
      </c>
      <c r="AI170">
        <f t="shared" si="64"/>
        <v>1779.0468468185993</v>
      </c>
      <c r="AJ170" s="4">
        <f t="shared" si="65"/>
        <v>1.4999999999999999E-2</v>
      </c>
      <c r="AK170">
        <f>IF(Z170&lt;=3,Diccionario!$O$2,IF(Z170=4,Diccionario!$O$5,Diccionario!$O$6))</f>
        <v>0.66499985814979368</v>
      </c>
      <c r="AL170">
        <f t="shared" si="66"/>
        <v>1</v>
      </c>
      <c r="AM170" s="3">
        <f t="shared" si="67"/>
        <v>2900689.58</v>
      </c>
      <c r="AN170" s="95">
        <f>MIN(AJ170*AK170*AM170*(1+'[2]Pesos escenarios'!$F$8/2),AM170)</f>
        <v>38564.330911526122</v>
      </c>
      <c r="AO170" t="str">
        <f>IFERROR(VLOOKUP(A170,Diccionario!$C$2:$E$65,3,FALSE),"no")</f>
        <v>Tarjetas_de_Crédito</v>
      </c>
    </row>
    <row r="171" spans="1:41" x14ac:dyDescent="0.35">
      <c r="A171">
        <v>131742001</v>
      </c>
      <c r="B171">
        <v>80</v>
      </c>
      <c r="C171">
        <v>6665</v>
      </c>
      <c r="D171">
        <v>0</v>
      </c>
      <c r="E171">
        <v>0</v>
      </c>
      <c r="F171" s="1">
        <v>46142</v>
      </c>
      <c r="G171" s="1">
        <v>46142</v>
      </c>
      <c r="H171" s="1">
        <v>41382</v>
      </c>
      <c r="I171">
        <v>0</v>
      </c>
      <c r="J171">
        <v>0</v>
      </c>
      <c r="K171" s="11">
        <v>101.99</v>
      </c>
      <c r="L171">
        <v>0</v>
      </c>
      <c r="M171">
        <v>0</v>
      </c>
      <c r="N171" t="s">
        <v>92</v>
      </c>
      <c r="O171" t="s">
        <v>93</v>
      </c>
      <c r="P171">
        <v>999</v>
      </c>
      <c r="Q171" s="1" t="s">
        <v>94</v>
      </c>
      <c r="R171" s="12">
        <v>41382</v>
      </c>
      <c r="S171" s="12">
        <v>0</v>
      </c>
      <c r="T171" s="12">
        <v>-3365078.63</v>
      </c>
      <c r="U171" s="12">
        <v>-2436.5300000000002</v>
      </c>
      <c r="V171" s="12">
        <v>-3365078.63</v>
      </c>
      <c r="W171" s="12">
        <v>0</v>
      </c>
      <c r="X171" s="12">
        <v>33650.79</v>
      </c>
      <c r="Y171" t="str">
        <f t="shared" si="57"/>
        <v>Sit.Normal</v>
      </c>
      <c r="Z171">
        <f t="shared" si="58"/>
        <v>1</v>
      </c>
      <c r="AB171">
        <f>VLOOKUP(A171,rubros_a_considerar!$A$2:$A$13,1,FALSE)</f>
        <v>131742001</v>
      </c>
      <c r="AC171" s="2">
        <f t="shared" si="59"/>
        <v>-3365078.63</v>
      </c>
      <c r="AD171" s="4">
        <f>IF(Z171&lt;=1,Diccionario!$M$2,Diccionario!$M$3)</f>
        <v>1.4999999999999999E-2</v>
      </c>
      <c r="AE171" s="93">
        <f t="shared" si="60"/>
        <v>4.1406369609475746E-5</v>
      </c>
      <c r="AF171">
        <f t="shared" si="61"/>
        <v>0</v>
      </c>
      <c r="AG171" s="5">
        <f t="shared" si="62"/>
        <v>3650</v>
      </c>
      <c r="AH171">
        <f t="shared" si="63"/>
        <v>365</v>
      </c>
      <c r="AI171">
        <f t="shared" si="64"/>
        <v>1779.0468468185993</v>
      </c>
      <c r="AJ171" s="4">
        <f t="shared" si="65"/>
        <v>1.4999999999999999E-2</v>
      </c>
      <c r="AK171">
        <f>IF(Z171&lt;=3,Diccionario!$O$2,IF(Z171=4,Diccionario!$O$5,Diccionario!$O$6))</f>
        <v>0.66499985814979368</v>
      </c>
      <c r="AL171">
        <f t="shared" si="66"/>
        <v>1</v>
      </c>
      <c r="AM171" s="3">
        <f t="shared" si="67"/>
        <v>3365078.63</v>
      </c>
      <c r="AN171" s="95">
        <f>MIN(AJ171*AK171*AM171*(1+'[2]Pesos escenarios'!$F$8/2),AM171)</f>
        <v>44738.329370157895</v>
      </c>
      <c r="AO171" t="str">
        <f>IFERROR(VLOOKUP(A171,Diccionario!$C$2:$E$65,3,FALSE),"no")</f>
        <v>Tarjetas_de_Crédito</v>
      </c>
    </row>
    <row r="172" spans="1:41" x14ac:dyDescent="0.35">
      <c r="A172">
        <v>135742001</v>
      </c>
      <c r="B172">
        <v>2</v>
      </c>
      <c r="C172">
        <v>6665</v>
      </c>
      <c r="D172">
        <v>0</v>
      </c>
      <c r="E172">
        <v>0</v>
      </c>
      <c r="F172" s="1">
        <v>46142</v>
      </c>
      <c r="G172" s="1">
        <v>46142</v>
      </c>
      <c r="H172" s="1">
        <v>46027</v>
      </c>
      <c r="I172">
        <v>0</v>
      </c>
      <c r="J172">
        <v>0</v>
      </c>
      <c r="K172" s="11">
        <v>0</v>
      </c>
      <c r="L172">
        <v>0</v>
      </c>
      <c r="M172">
        <v>0</v>
      </c>
      <c r="N172" t="s">
        <v>92</v>
      </c>
      <c r="O172" t="s">
        <v>93</v>
      </c>
      <c r="P172">
        <v>999</v>
      </c>
      <c r="Q172" s="1" t="s">
        <v>94</v>
      </c>
      <c r="R172" s="12">
        <v>46027</v>
      </c>
      <c r="S172" s="12">
        <v>0</v>
      </c>
      <c r="T172" s="12">
        <v>-3587533.41</v>
      </c>
      <c r="U172" s="12">
        <v>-2597.6</v>
      </c>
      <c r="V172" s="12">
        <v>-2597.6</v>
      </c>
      <c r="W172" s="12">
        <v>0</v>
      </c>
      <c r="X172" s="12">
        <v>25.98</v>
      </c>
      <c r="Y172" t="str">
        <f t="shared" si="57"/>
        <v>Sit.Normal</v>
      </c>
      <c r="Z172">
        <f t="shared" si="58"/>
        <v>1</v>
      </c>
      <c r="AB172">
        <f>VLOOKUP(A172,rubros_a_considerar!$A$2:$A$13,1,FALSE)</f>
        <v>135742001</v>
      </c>
      <c r="AC172" s="2">
        <f t="shared" si="59"/>
        <v>-3587533.41</v>
      </c>
      <c r="AD172" s="4">
        <f>IF(Z172&lt;=1,Diccionario!$M$2,Diccionario!$M$3)</f>
        <v>1.4999999999999999E-2</v>
      </c>
      <c r="AE172" s="93">
        <f t="shared" si="60"/>
        <v>4.1406369609475746E-5</v>
      </c>
      <c r="AF172">
        <f t="shared" si="61"/>
        <v>0</v>
      </c>
      <c r="AG172" s="5">
        <f t="shared" si="62"/>
        <v>3650</v>
      </c>
      <c r="AH172">
        <f t="shared" si="63"/>
        <v>365</v>
      </c>
      <c r="AI172">
        <f t="shared" si="64"/>
        <v>1779.0468468185993</v>
      </c>
      <c r="AJ172" s="4">
        <f t="shared" si="65"/>
        <v>1.4999999999999999E-2</v>
      </c>
      <c r="AK172">
        <f>IF(Z172&lt;=3,Diccionario!$O$2,IF(Z172=4,Diccionario!$O$5,Diccionario!$O$6))</f>
        <v>0.66499985814979368</v>
      </c>
      <c r="AL172">
        <f t="shared" si="66"/>
        <v>1</v>
      </c>
      <c r="AM172" s="3">
        <f t="shared" si="67"/>
        <v>3587533.41</v>
      </c>
      <c r="AN172" s="95">
        <f>MIN(AJ172*AK172*AM172*(1+'[2]Pesos escenarios'!$F$8/2),AM172)</f>
        <v>47695.839821438502</v>
      </c>
      <c r="AO172" t="str">
        <f>IFERROR(VLOOKUP(A172,Diccionario!$C$2:$E$65,3,FALSE),"no")</f>
        <v>Tarjetas_de_Crédito</v>
      </c>
    </row>
    <row r="173" spans="1:41" x14ac:dyDescent="0.35">
      <c r="A173">
        <v>131742001</v>
      </c>
      <c r="B173">
        <v>80</v>
      </c>
      <c r="C173">
        <v>451</v>
      </c>
      <c r="D173">
        <v>0</v>
      </c>
      <c r="E173">
        <v>0</v>
      </c>
      <c r="F173" s="1">
        <v>46142</v>
      </c>
      <c r="G173" s="1">
        <v>46142</v>
      </c>
      <c r="H173" s="1">
        <v>41162</v>
      </c>
      <c r="I173">
        <v>0</v>
      </c>
      <c r="J173">
        <v>0</v>
      </c>
      <c r="K173" s="11">
        <v>101.99</v>
      </c>
      <c r="L173">
        <v>0</v>
      </c>
      <c r="M173">
        <v>0</v>
      </c>
      <c r="N173" t="s">
        <v>92</v>
      </c>
      <c r="O173" t="s">
        <v>93</v>
      </c>
      <c r="P173">
        <v>990</v>
      </c>
      <c r="Q173" s="1" t="s">
        <v>95</v>
      </c>
      <c r="R173" s="12">
        <v>41162</v>
      </c>
      <c r="S173" s="12">
        <v>0</v>
      </c>
      <c r="T173" s="12">
        <v>-3833321.5</v>
      </c>
      <c r="U173" s="12">
        <v>-2775.57</v>
      </c>
      <c r="V173" s="12">
        <v>-3833321.5</v>
      </c>
      <c r="W173" s="12">
        <v>0</v>
      </c>
      <c r="X173" s="12">
        <v>38333.22</v>
      </c>
      <c r="Y173" t="str">
        <f t="shared" si="57"/>
        <v>Sit.Normal</v>
      </c>
      <c r="Z173">
        <f t="shared" si="58"/>
        <v>1</v>
      </c>
      <c r="AB173">
        <f>VLOOKUP(A173,rubros_a_considerar!$A$2:$A$13,1,FALSE)</f>
        <v>131742001</v>
      </c>
      <c r="AC173" s="2">
        <f t="shared" si="59"/>
        <v>-3833321.5</v>
      </c>
      <c r="AD173" s="4">
        <f>IF(Z173&lt;=1,Diccionario!$M$2,Diccionario!$M$3)</f>
        <v>1.4999999999999999E-2</v>
      </c>
      <c r="AE173" s="93">
        <f t="shared" si="60"/>
        <v>4.1406369609475746E-5</v>
      </c>
      <c r="AF173">
        <f t="shared" si="61"/>
        <v>0</v>
      </c>
      <c r="AG173" s="5">
        <f t="shared" si="62"/>
        <v>3650</v>
      </c>
      <c r="AH173">
        <f t="shared" si="63"/>
        <v>365</v>
      </c>
      <c r="AI173">
        <f t="shared" si="64"/>
        <v>1779.0468468185993</v>
      </c>
      <c r="AJ173" s="4">
        <f t="shared" si="65"/>
        <v>1.4999999999999999E-2</v>
      </c>
      <c r="AK173">
        <f>IF(Z173&lt;=3,Diccionario!$O$2,IF(Z173=4,Diccionario!$O$5,Diccionario!$O$6))</f>
        <v>0.66499985814979368</v>
      </c>
      <c r="AL173">
        <f t="shared" si="66"/>
        <v>1</v>
      </c>
      <c r="AM173" s="3">
        <f t="shared" si="67"/>
        <v>3833321.5</v>
      </c>
      <c r="AN173" s="95">
        <f>MIN(AJ173*AK173*AM173*(1+'[2]Pesos escenarios'!$F$8/2),AM173)</f>
        <v>50963.563917883163</v>
      </c>
      <c r="AO173" t="str">
        <f>IFERROR(VLOOKUP(A173,Diccionario!$C$2:$E$65,3,FALSE),"no")</f>
        <v>Tarjetas_de_Crédito</v>
      </c>
    </row>
    <row r="174" spans="1:41" x14ac:dyDescent="0.35">
      <c r="A174">
        <v>131742001</v>
      </c>
      <c r="B174">
        <v>80</v>
      </c>
      <c r="C174">
        <v>6702</v>
      </c>
      <c r="D174">
        <v>0</v>
      </c>
      <c r="E174">
        <v>0</v>
      </c>
      <c r="F174" s="1">
        <v>46142</v>
      </c>
      <c r="G174" s="1">
        <v>46142</v>
      </c>
      <c r="H174" s="1">
        <v>36978</v>
      </c>
      <c r="I174">
        <v>0</v>
      </c>
      <c r="J174">
        <v>0</v>
      </c>
      <c r="K174" s="11">
        <v>101.99</v>
      </c>
      <c r="L174">
        <v>0</v>
      </c>
      <c r="M174">
        <v>0</v>
      </c>
      <c r="N174" t="s">
        <v>92</v>
      </c>
      <c r="O174" t="s">
        <v>93</v>
      </c>
      <c r="P174">
        <v>999</v>
      </c>
      <c r="Q174" s="1" t="s">
        <v>94</v>
      </c>
      <c r="R174" s="12">
        <v>36978</v>
      </c>
      <c r="S174" s="12">
        <v>0</v>
      </c>
      <c r="T174" s="12">
        <v>-3886656.45</v>
      </c>
      <c r="U174" s="12">
        <v>-2814.18</v>
      </c>
      <c r="V174" s="12">
        <v>-3886656.45</v>
      </c>
      <c r="W174" s="12">
        <v>0</v>
      </c>
      <c r="X174" s="12">
        <v>38866.559999999998</v>
      </c>
      <c r="Y174" t="str">
        <f t="shared" si="57"/>
        <v>Sit.Normal</v>
      </c>
      <c r="Z174">
        <f t="shared" si="58"/>
        <v>1</v>
      </c>
      <c r="AB174">
        <f>VLOOKUP(A174,rubros_a_considerar!$A$2:$A$13,1,FALSE)</f>
        <v>131742001</v>
      </c>
      <c r="AC174" s="2">
        <f t="shared" si="59"/>
        <v>-3886656.45</v>
      </c>
      <c r="AD174" s="4">
        <f>IF(Z174&lt;=1,Diccionario!$M$2,Diccionario!$M$3)</f>
        <v>1.4999999999999999E-2</v>
      </c>
      <c r="AE174" s="93">
        <f t="shared" si="60"/>
        <v>4.1406369609475746E-5</v>
      </c>
      <c r="AF174">
        <f t="shared" si="61"/>
        <v>0</v>
      </c>
      <c r="AG174" s="5">
        <f t="shared" si="62"/>
        <v>3650</v>
      </c>
      <c r="AH174">
        <f t="shared" si="63"/>
        <v>365</v>
      </c>
      <c r="AI174">
        <f t="shared" si="64"/>
        <v>1779.0468468185993</v>
      </c>
      <c r="AJ174" s="4">
        <f t="shared" si="65"/>
        <v>1.4999999999999999E-2</v>
      </c>
      <c r="AK174">
        <f>IF(Z174&lt;=3,Diccionario!$O$2,IF(Z174=4,Diccionario!$O$5,Diccionario!$O$6))</f>
        <v>0.66499985814979368</v>
      </c>
      <c r="AL174">
        <f t="shared" si="66"/>
        <v>1</v>
      </c>
      <c r="AM174" s="3">
        <f t="shared" si="67"/>
        <v>3886656.45</v>
      </c>
      <c r="AN174" s="95">
        <f>MIN(AJ174*AK174*AM174*(1+'[2]Pesos escenarios'!$F$8/2),AM174)</f>
        <v>51672.645880714124</v>
      </c>
      <c r="AO174" t="str">
        <f>IFERROR(VLOOKUP(A174,Diccionario!$C$2:$E$65,3,FALSE),"no")</f>
        <v>Tarjetas_de_Crédito</v>
      </c>
    </row>
    <row r="175" spans="1:41" x14ac:dyDescent="0.35">
      <c r="A175">
        <v>131742001</v>
      </c>
      <c r="B175">
        <v>80</v>
      </c>
      <c r="C175">
        <v>59750</v>
      </c>
      <c r="D175">
        <v>0</v>
      </c>
      <c r="E175">
        <v>0</v>
      </c>
      <c r="F175" s="1">
        <v>46142</v>
      </c>
      <c r="G175" s="1">
        <v>46142</v>
      </c>
      <c r="H175" s="1">
        <v>40045</v>
      </c>
      <c r="I175">
        <v>0</v>
      </c>
      <c r="J175">
        <v>0</v>
      </c>
      <c r="K175" s="11">
        <v>101.99</v>
      </c>
      <c r="L175">
        <v>0</v>
      </c>
      <c r="M175">
        <v>0</v>
      </c>
      <c r="N175" t="s">
        <v>92</v>
      </c>
      <c r="O175" t="s">
        <v>93</v>
      </c>
      <c r="P175">
        <v>103</v>
      </c>
      <c r="Q175" s="1" t="s">
        <v>95</v>
      </c>
      <c r="R175" s="12">
        <v>40045</v>
      </c>
      <c r="S175" s="12">
        <v>0</v>
      </c>
      <c r="T175" s="12">
        <v>-6673323.2699999996</v>
      </c>
      <c r="U175" s="12">
        <v>-4831.91</v>
      </c>
      <c r="V175" s="12">
        <v>-6673323.2699999996</v>
      </c>
      <c r="W175" s="12">
        <v>0</v>
      </c>
      <c r="X175" s="12">
        <v>66733.23</v>
      </c>
      <c r="Y175" t="str">
        <f t="shared" si="57"/>
        <v>Sit.Normal</v>
      </c>
      <c r="Z175">
        <f t="shared" si="58"/>
        <v>1</v>
      </c>
      <c r="AB175">
        <f>VLOOKUP(A175,rubros_a_considerar!$A$2:$A$13,1,FALSE)</f>
        <v>131742001</v>
      </c>
      <c r="AC175" s="2">
        <f t="shared" si="59"/>
        <v>-6673323.2699999996</v>
      </c>
      <c r="AD175" s="4">
        <f>IF(Z175&lt;=1,Diccionario!$M$2,Diccionario!$M$3)</f>
        <v>1.4999999999999999E-2</v>
      </c>
      <c r="AE175" s="93">
        <f t="shared" si="60"/>
        <v>4.1406369609475746E-5</v>
      </c>
      <c r="AF175">
        <f t="shared" si="61"/>
        <v>0</v>
      </c>
      <c r="AG175" s="5">
        <f t="shared" si="62"/>
        <v>3650</v>
      </c>
      <c r="AH175">
        <f t="shared" si="63"/>
        <v>365</v>
      </c>
      <c r="AI175">
        <f t="shared" si="64"/>
        <v>1779.0468468185993</v>
      </c>
      <c r="AJ175" s="4">
        <f t="shared" si="65"/>
        <v>1.4999999999999999E-2</v>
      </c>
      <c r="AK175">
        <f>IF(Z175&lt;=3,Diccionario!$O$2,IF(Z175=4,Diccionario!$O$5,Diccionario!$O$6))</f>
        <v>0.66499985814979368</v>
      </c>
      <c r="AL175">
        <f t="shared" si="66"/>
        <v>1</v>
      </c>
      <c r="AM175" s="3">
        <f>+IF(AC175&lt;0,-AC175,0)</f>
        <v>6673323.2699999996</v>
      </c>
      <c r="AN175" s="95">
        <f>MIN(AJ175*AK175*AM175*(1+'[2]Pesos escenarios'!$F$8/2),AM175)</f>
        <v>88721.057447266561</v>
      </c>
      <c r="AO175" t="str">
        <f>IFERROR(VLOOKUP(A175,Diccionario!$C$2:$E$65,3,FALSE),"no")</f>
        <v>Tarjetas_de_Crédito</v>
      </c>
    </row>
    <row r="176" spans="1:41" x14ac:dyDescent="0.35">
      <c r="F176" s="1"/>
      <c r="G176" s="1"/>
      <c r="H176" s="1"/>
      <c r="K176" s="11"/>
      <c r="Q176" s="1"/>
      <c r="R176" s="12"/>
      <c r="S176" s="12"/>
      <c r="T176" s="12"/>
      <c r="U176" s="12"/>
      <c r="V176" s="12"/>
      <c r="W176" s="12"/>
      <c r="X176" s="12"/>
    </row>
    <row r="177" spans="6:24" x14ac:dyDescent="0.35">
      <c r="F177" s="1"/>
      <c r="G177" s="1"/>
      <c r="H177" s="1"/>
      <c r="K177" s="11"/>
      <c r="Q177" s="1"/>
      <c r="R177" s="12"/>
      <c r="S177" s="12"/>
      <c r="T177" s="12"/>
      <c r="U177" s="12"/>
      <c r="V177" s="12"/>
      <c r="W177" s="12"/>
      <c r="X177" s="12"/>
    </row>
    <row r="178" spans="6:24" x14ac:dyDescent="0.35">
      <c r="F178" s="1"/>
      <c r="G178" s="1"/>
      <c r="H178" s="1"/>
      <c r="K178" s="11"/>
      <c r="Q178" s="1"/>
      <c r="R178" s="12"/>
      <c r="S178" s="12"/>
      <c r="T178" s="12"/>
      <c r="U178" s="12"/>
      <c r="V178" s="12"/>
      <c r="W178" s="12"/>
      <c r="X178" s="12"/>
    </row>
    <row r="179" spans="6:24" x14ac:dyDescent="0.35">
      <c r="F179" s="1"/>
      <c r="G179" s="1"/>
      <c r="H179" s="1"/>
      <c r="K179" s="11"/>
      <c r="Q179" s="1"/>
      <c r="R179" s="12"/>
      <c r="S179" s="12"/>
      <c r="T179" s="12"/>
      <c r="U179" s="12"/>
      <c r="V179" s="12"/>
      <c r="W179" s="12"/>
      <c r="X179" s="12"/>
    </row>
    <row r="180" spans="6:24" x14ac:dyDescent="0.35">
      <c r="F180" s="1"/>
      <c r="G180" s="92"/>
      <c r="H180" s="1"/>
      <c r="K180" s="11"/>
      <c r="Q180" s="1"/>
      <c r="R180" s="12"/>
      <c r="S180" s="12"/>
      <c r="T180" s="12"/>
      <c r="U180" s="12"/>
      <c r="V180" s="12"/>
      <c r="W180" s="12"/>
      <c r="X180" s="12"/>
    </row>
    <row r="181" spans="6:24" x14ac:dyDescent="0.35">
      <c r="F181" s="1"/>
      <c r="G181" s="92"/>
      <c r="H181" s="1"/>
      <c r="K181" s="11"/>
      <c r="Q181" s="1"/>
      <c r="R181" s="12"/>
      <c r="S181" s="12"/>
      <c r="T181" s="12"/>
      <c r="U181" s="12"/>
      <c r="V181" s="12"/>
      <c r="W181" s="12"/>
      <c r="X181" s="12"/>
    </row>
    <row r="182" spans="6:24" x14ac:dyDescent="0.35">
      <c r="F182" s="1"/>
      <c r="G182" s="1"/>
      <c r="H182" s="1"/>
      <c r="K182" s="11"/>
      <c r="Q182" s="1"/>
      <c r="R182" s="12"/>
      <c r="S182" s="12"/>
      <c r="T182" s="12"/>
      <c r="U182" s="12"/>
      <c r="V182" s="12"/>
      <c r="W182" s="12"/>
      <c r="X182" s="12"/>
    </row>
    <row r="183" spans="6:24" x14ac:dyDescent="0.35">
      <c r="F183" s="1"/>
      <c r="G183" s="1"/>
      <c r="H183" s="1"/>
      <c r="K183" s="11"/>
      <c r="Q183" s="1"/>
      <c r="R183" s="12"/>
      <c r="S183" s="12"/>
      <c r="T183" s="12"/>
      <c r="U183" s="12"/>
      <c r="V183" s="12"/>
      <c r="W183" s="12"/>
      <c r="X183" s="12"/>
    </row>
    <row r="184" spans="6:24" x14ac:dyDescent="0.35">
      <c r="F184" s="1"/>
      <c r="G184" s="92"/>
      <c r="H184" s="1"/>
      <c r="K184" s="11"/>
      <c r="Q184" s="1"/>
      <c r="R184" s="12"/>
      <c r="S184" s="12"/>
      <c r="T184" s="12"/>
      <c r="U184" s="12"/>
      <c r="V184" s="12"/>
      <c r="W184" s="12"/>
      <c r="X184" s="12"/>
    </row>
    <row r="185" spans="6:24" x14ac:dyDescent="0.35">
      <c r="F185" s="1"/>
      <c r="G185" s="1"/>
      <c r="H185" s="1"/>
      <c r="K185" s="11"/>
      <c r="Q185" s="1"/>
      <c r="R185" s="12"/>
      <c r="S185" s="12"/>
      <c r="T185" s="12"/>
      <c r="U185" s="12"/>
      <c r="V185" s="12"/>
      <c r="W185" s="12"/>
      <c r="X185" s="12"/>
    </row>
    <row r="186" spans="6:24" x14ac:dyDescent="0.35">
      <c r="F186" s="1"/>
      <c r="G186" s="1"/>
      <c r="H186" s="1"/>
      <c r="K186" s="11"/>
      <c r="Q186" s="1"/>
      <c r="R186" s="12"/>
      <c r="S186" s="12"/>
      <c r="T186" s="12"/>
      <c r="U186" s="12"/>
      <c r="V186" s="12"/>
      <c r="W186" s="12"/>
      <c r="X186" s="12"/>
    </row>
    <row r="187" spans="6:24" x14ac:dyDescent="0.35">
      <c r="F187" s="1"/>
      <c r="H187" s="1"/>
      <c r="K187" s="11"/>
      <c r="Q187" s="1"/>
      <c r="R187" s="12"/>
      <c r="S187" s="12"/>
      <c r="T187" s="12"/>
      <c r="U187" s="12"/>
      <c r="V187" s="12"/>
      <c r="W187" s="12"/>
      <c r="X187" s="12"/>
    </row>
    <row r="188" spans="6:24" x14ac:dyDescent="0.35">
      <c r="F188" s="1"/>
      <c r="H188" s="1"/>
      <c r="K188" s="11"/>
      <c r="Q188" s="1"/>
      <c r="R188" s="12"/>
      <c r="S188" s="12"/>
      <c r="T188" s="12"/>
      <c r="U188" s="12"/>
      <c r="V188" s="12"/>
      <c r="W188" s="12"/>
      <c r="X188" s="12"/>
    </row>
    <row r="189" spans="6:24" x14ac:dyDescent="0.35">
      <c r="F189" s="1"/>
      <c r="H189" s="1"/>
      <c r="K189" s="11"/>
      <c r="Q189" s="1"/>
      <c r="R189" s="12"/>
      <c r="S189" s="12"/>
      <c r="T189" s="12"/>
      <c r="U189" s="12"/>
      <c r="V189" s="12"/>
      <c r="W189" s="12"/>
      <c r="X189" s="12"/>
    </row>
    <row r="190" spans="6:24" x14ac:dyDescent="0.35">
      <c r="F190" s="1"/>
      <c r="H190" s="1"/>
      <c r="K190" s="11"/>
      <c r="Q190" s="1"/>
      <c r="R190" s="12"/>
      <c r="S190" s="12"/>
      <c r="T190" s="12"/>
      <c r="U190" s="12"/>
      <c r="V190" s="12"/>
      <c r="W190" s="12"/>
      <c r="X190" s="12"/>
    </row>
    <row r="191" spans="6:24" x14ac:dyDescent="0.35">
      <c r="F191" s="1"/>
      <c r="H191" s="1"/>
      <c r="K191" s="11"/>
      <c r="Q191" s="1"/>
      <c r="R191" s="12"/>
      <c r="S191" s="12"/>
      <c r="T191" s="12"/>
      <c r="U191" s="12"/>
      <c r="V191" s="12"/>
      <c r="W191" s="12"/>
      <c r="X191" s="12"/>
    </row>
    <row r="192" spans="6:24" x14ac:dyDescent="0.35">
      <c r="F192" s="1"/>
      <c r="H192" s="1"/>
      <c r="K192" s="11"/>
      <c r="Q192" s="1"/>
      <c r="R192" s="12"/>
      <c r="S192" s="12"/>
      <c r="T192" s="12"/>
      <c r="U192" s="12"/>
      <c r="V192" s="12"/>
      <c r="W192" s="12"/>
      <c r="X192" s="12"/>
    </row>
    <row r="193" spans="6:24" x14ac:dyDescent="0.35">
      <c r="F193" s="1"/>
      <c r="H193" s="1"/>
      <c r="K193" s="11"/>
      <c r="Q193" s="1"/>
      <c r="R193" s="12"/>
      <c r="S193" s="12"/>
      <c r="T193" s="12"/>
      <c r="U193" s="12"/>
      <c r="V193" s="12"/>
      <c r="W193" s="12"/>
      <c r="X193" s="12"/>
    </row>
    <row r="194" spans="6:24" x14ac:dyDescent="0.35">
      <c r="F194" s="1"/>
      <c r="H194" s="1"/>
      <c r="K194" s="11"/>
      <c r="Q194" s="1"/>
      <c r="R194" s="12"/>
      <c r="S194" s="12"/>
      <c r="T194" s="12"/>
      <c r="U194" s="12"/>
      <c r="V194" s="12"/>
      <c r="W194" s="12"/>
      <c r="X194" s="12"/>
    </row>
    <row r="195" spans="6:24" x14ac:dyDescent="0.35">
      <c r="F195" s="1"/>
      <c r="G195" s="1"/>
      <c r="H195" s="1"/>
      <c r="K195" s="11"/>
      <c r="Q195" s="1"/>
      <c r="R195" s="12"/>
      <c r="S195" s="12"/>
      <c r="T195" s="12"/>
      <c r="U195" s="12"/>
      <c r="V195" s="12"/>
      <c r="W195" s="12"/>
      <c r="X195" s="12"/>
    </row>
    <row r="196" spans="6:24" x14ac:dyDescent="0.35">
      <c r="F196" s="1"/>
      <c r="G196" s="1"/>
      <c r="H196" s="1"/>
      <c r="K196" s="11"/>
      <c r="Q196" s="1"/>
      <c r="R196" s="12"/>
      <c r="S196" s="12"/>
      <c r="T196" s="12"/>
      <c r="U196" s="12"/>
      <c r="V196" s="12"/>
      <c r="W196" s="12"/>
      <c r="X196" s="12"/>
    </row>
    <row r="197" spans="6:24" x14ac:dyDescent="0.35">
      <c r="F197" s="1"/>
      <c r="G197" s="1"/>
      <c r="H197" s="1"/>
      <c r="K197" s="11"/>
      <c r="Q197" s="1"/>
      <c r="R197" s="12"/>
      <c r="S197" s="12"/>
      <c r="T197" s="12"/>
      <c r="U197" s="12"/>
      <c r="V197" s="12"/>
      <c r="W197" s="12"/>
      <c r="X197" s="12"/>
    </row>
    <row r="198" spans="6:24" x14ac:dyDescent="0.35">
      <c r="F198" s="1"/>
      <c r="G198" s="1"/>
      <c r="H198" s="1"/>
      <c r="K198" s="11"/>
      <c r="Q198" s="1"/>
      <c r="R198" s="12"/>
      <c r="S198" s="12"/>
      <c r="T198" s="12"/>
      <c r="U198" s="12"/>
      <c r="V198" s="12"/>
      <c r="W198" s="12"/>
      <c r="X198" s="12"/>
    </row>
    <row r="199" spans="6:24" x14ac:dyDescent="0.35">
      <c r="F199" s="1"/>
      <c r="G199" s="1"/>
      <c r="H199" s="1"/>
      <c r="K199" s="11"/>
      <c r="Q199" s="1"/>
      <c r="R199" s="12"/>
      <c r="S199" s="12"/>
      <c r="T199" s="12"/>
      <c r="U199" s="12"/>
      <c r="V199" s="12"/>
      <c r="W199" s="12"/>
      <c r="X199" s="12"/>
    </row>
    <row r="200" spans="6:24" x14ac:dyDescent="0.35">
      <c r="F200" s="1"/>
      <c r="G200" s="1"/>
      <c r="H200" s="1"/>
      <c r="K200" s="11"/>
      <c r="Q200" s="1"/>
      <c r="R200" s="12"/>
      <c r="S200" s="12"/>
      <c r="T200" s="12"/>
      <c r="U200" s="12"/>
      <c r="V200" s="12"/>
      <c r="W200" s="12"/>
      <c r="X200" s="12"/>
    </row>
    <row r="201" spans="6:24" x14ac:dyDescent="0.35">
      <c r="F201" s="1"/>
      <c r="G201" s="1"/>
      <c r="H201" s="1"/>
      <c r="K201" s="11"/>
      <c r="Q201" s="1"/>
      <c r="R201" s="12"/>
      <c r="S201" s="12"/>
      <c r="T201" s="12"/>
      <c r="U201" s="12"/>
      <c r="V201" s="12"/>
      <c r="W201" s="12"/>
      <c r="X201" s="12"/>
    </row>
    <row r="202" spans="6:24" x14ac:dyDescent="0.35">
      <c r="F202" s="1"/>
      <c r="G202" s="1"/>
      <c r="H202" s="1"/>
      <c r="K202" s="11"/>
      <c r="Q202" s="1"/>
      <c r="R202" s="12"/>
      <c r="S202" s="12"/>
      <c r="T202" s="12"/>
      <c r="U202" s="12"/>
      <c r="V202" s="12"/>
      <c r="W202" s="12"/>
      <c r="X202" s="12"/>
    </row>
    <row r="203" spans="6:24" x14ac:dyDescent="0.35">
      <c r="F203" s="1"/>
      <c r="G203" s="1"/>
      <c r="H203" s="1"/>
      <c r="K203" s="11"/>
      <c r="Q203" s="1"/>
      <c r="R203" s="12"/>
      <c r="S203" s="12"/>
      <c r="T203" s="12"/>
      <c r="U203" s="12"/>
      <c r="V203" s="12"/>
      <c r="W203" s="12"/>
      <c r="X203" s="12"/>
    </row>
    <row r="204" spans="6:24" x14ac:dyDescent="0.35">
      <c r="F204" s="1"/>
      <c r="G204" s="1"/>
      <c r="H204" s="1"/>
      <c r="K204" s="11"/>
      <c r="Q204" s="1"/>
      <c r="R204" s="12"/>
      <c r="S204" s="12"/>
      <c r="T204" s="12"/>
      <c r="U204" s="12"/>
      <c r="V204" s="12"/>
      <c r="W204" s="12"/>
      <c r="X204" s="12"/>
    </row>
    <row r="205" spans="6:24" x14ac:dyDescent="0.35">
      <c r="F205" s="1"/>
      <c r="G205" s="1"/>
      <c r="H205" s="1"/>
      <c r="K205" s="11"/>
      <c r="Q205" s="1"/>
      <c r="R205" s="12"/>
      <c r="S205" s="12"/>
      <c r="T205" s="12"/>
      <c r="U205" s="12"/>
      <c r="V205" s="12"/>
      <c r="W205" s="12"/>
      <c r="X205" s="12"/>
    </row>
    <row r="206" spans="6:24" x14ac:dyDescent="0.35">
      <c r="F206" s="1"/>
      <c r="G206" s="1"/>
      <c r="H206" s="1"/>
      <c r="K206" s="11"/>
      <c r="Q206" s="1"/>
      <c r="R206" s="12"/>
      <c r="S206" s="12"/>
      <c r="T206" s="12"/>
      <c r="U206" s="12"/>
      <c r="V206" s="12"/>
      <c r="W206" s="12"/>
      <c r="X206" s="12"/>
    </row>
    <row r="207" spans="6:24" x14ac:dyDescent="0.35">
      <c r="F207" s="1"/>
      <c r="G207" s="1"/>
      <c r="H207" s="1"/>
      <c r="K207" s="11"/>
      <c r="Q207" s="1"/>
      <c r="R207" s="12"/>
      <c r="S207" s="12"/>
      <c r="T207" s="12"/>
      <c r="U207" s="12"/>
      <c r="V207" s="12"/>
      <c r="W207" s="12"/>
      <c r="X207" s="12"/>
    </row>
    <row r="208" spans="6:24" x14ac:dyDescent="0.35">
      <c r="F208" s="1"/>
      <c r="G208" s="1"/>
      <c r="H208" s="1"/>
      <c r="K208" s="11"/>
      <c r="Q208" s="1"/>
      <c r="R208" s="12"/>
      <c r="S208" s="12"/>
      <c r="T208" s="12"/>
      <c r="U208" s="12"/>
      <c r="V208" s="12"/>
      <c r="W208" s="12"/>
      <c r="X208" s="12"/>
    </row>
    <row r="209" spans="6:24" x14ac:dyDescent="0.35">
      <c r="F209" s="1"/>
      <c r="G209" s="1"/>
      <c r="H209" s="1"/>
      <c r="K209" s="11"/>
      <c r="Q209" s="1"/>
      <c r="R209" s="12"/>
      <c r="S209" s="12"/>
      <c r="T209" s="12"/>
      <c r="U209" s="12"/>
      <c r="V209" s="12"/>
      <c r="W209" s="12"/>
      <c r="X209" s="12"/>
    </row>
    <row r="210" spans="6:24" x14ac:dyDescent="0.35">
      <c r="F210" s="1"/>
      <c r="G210" s="1"/>
      <c r="H210" s="1"/>
      <c r="K210" s="11"/>
      <c r="Q210" s="1"/>
      <c r="R210" s="12"/>
      <c r="S210" s="12"/>
      <c r="T210" s="12"/>
      <c r="U210" s="12"/>
      <c r="V210" s="12"/>
      <c r="W210" s="12"/>
      <c r="X210" s="12"/>
    </row>
    <row r="211" spans="6:24" x14ac:dyDescent="0.35">
      <c r="F211" s="1"/>
      <c r="G211" s="1"/>
      <c r="H211" s="1"/>
      <c r="K211" s="11"/>
      <c r="Q211" s="1"/>
      <c r="R211" s="12"/>
      <c r="S211" s="12"/>
      <c r="T211" s="12"/>
      <c r="U211" s="12"/>
      <c r="V211" s="12"/>
      <c r="W211" s="12"/>
      <c r="X211" s="12"/>
    </row>
    <row r="212" spans="6:24" x14ac:dyDescent="0.35">
      <c r="F212" s="1"/>
      <c r="G212" s="1"/>
      <c r="H212" s="1"/>
      <c r="K212" s="11"/>
      <c r="Q212" s="1"/>
      <c r="R212" s="12"/>
      <c r="S212" s="12"/>
      <c r="T212" s="12"/>
      <c r="U212" s="12"/>
      <c r="V212" s="12"/>
      <c r="W212" s="12"/>
      <c r="X212" s="12"/>
    </row>
    <row r="213" spans="6:24" x14ac:dyDescent="0.35">
      <c r="F213" s="1"/>
      <c r="G213" s="1"/>
      <c r="H213" s="1"/>
      <c r="K213" s="11"/>
      <c r="Q213" s="1"/>
      <c r="R213" s="12"/>
      <c r="S213" s="12"/>
      <c r="T213" s="12"/>
      <c r="U213" s="12"/>
      <c r="V213" s="12"/>
      <c r="W213" s="12"/>
      <c r="X213" s="12"/>
    </row>
    <row r="214" spans="6:24" x14ac:dyDescent="0.35">
      <c r="F214" s="1"/>
      <c r="G214" s="1"/>
      <c r="H214" s="1"/>
      <c r="K214" s="11"/>
      <c r="Q214" s="1"/>
      <c r="R214" s="12"/>
      <c r="S214" s="12"/>
      <c r="T214" s="12"/>
      <c r="U214" s="12"/>
      <c r="V214" s="12"/>
      <c r="W214" s="12"/>
      <c r="X214" s="12"/>
    </row>
    <row r="215" spans="6:24" x14ac:dyDescent="0.35">
      <c r="F215" s="1"/>
      <c r="G215" s="1"/>
      <c r="H215" s="1"/>
      <c r="K215" s="11"/>
      <c r="Q215" s="1"/>
      <c r="R215" s="12"/>
      <c r="S215" s="12"/>
      <c r="T215" s="12"/>
      <c r="U215" s="12"/>
      <c r="V215" s="12"/>
      <c r="W215" s="12"/>
      <c r="X215" s="12"/>
    </row>
    <row r="216" spans="6:24" x14ac:dyDescent="0.35">
      <c r="F216" s="1"/>
      <c r="H216" s="1"/>
      <c r="K216" s="11"/>
      <c r="Q216" s="1"/>
      <c r="R216" s="12"/>
      <c r="S216" s="12"/>
      <c r="T216" s="12"/>
      <c r="U216" s="12"/>
      <c r="V216" s="12"/>
      <c r="W216" s="12"/>
      <c r="X216" s="12"/>
    </row>
    <row r="217" spans="6:24" x14ac:dyDescent="0.35">
      <c r="F217" s="1"/>
      <c r="G217" s="1"/>
      <c r="H217" s="1"/>
      <c r="K217" s="11"/>
      <c r="Q217" s="1"/>
      <c r="R217" s="12"/>
      <c r="S217" s="12"/>
      <c r="T217" s="12"/>
      <c r="U217" s="12"/>
      <c r="V217" s="12"/>
      <c r="W217" s="12"/>
      <c r="X217" s="12"/>
    </row>
    <row r="218" spans="6:24" x14ac:dyDescent="0.35">
      <c r="F218" s="1"/>
      <c r="G218" s="1"/>
      <c r="H218" s="1"/>
      <c r="K218" s="11"/>
      <c r="Q218" s="1"/>
      <c r="R218" s="12"/>
      <c r="S218" s="12"/>
      <c r="T218" s="12"/>
      <c r="U218" s="12"/>
      <c r="V218" s="12"/>
      <c r="W218" s="12"/>
      <c r="X218" s="12"/>
    </row>
    <row r="219" spans="6:24" x14ac:dyDescent="0.35">
      <c r="F219" s="1"/>
      <c r="G219" s="1"/>
      <c r="H219" s="1"/>
      <c r="K219" s="11"/>
      <c r="Q219" s="1"/>
      <c r="R219" s="12"/>
      <c r="S219" s="12"/>
      <c r="T219" s="12"/>
      <c r="U219" s="12"/>
      <c r="V219" s="12"/>
      <c r="W219" s="12"/>
      <c r="X219" s="12"/>
    </row>
    <row r="220" spans="6:24" x14ac:dyDescent="0.35">
      <c r="F220" s="1"/>
      <c r="G220" s="1"/>
      <c r="H220" s="1"/>
      <c r="K220" s="11"/>
      <c r="Q220" s="1"/>
      <c r="R220" s="12"/>
      <c r="S220" s="12"/>
      <c r="T220" s="12"/>
      <c r="U220" s="12"/>
      <c r="V220" s="12"/>
      <c r="W220" s="12"/>
      <c r="X220" s="12"/>
    </row>
    <row r="221" spans="6:24" x14ac:dyDescent="0.35">
      <c r="F221" s="1"/>
      <c r="G221" s="1"/>
      <c r="H221" s="1"/>
      <c r="K221" s="11"/>
      <c r="Q221" s="1"/>
      <c r="R221" s="12"/>
      <c r="S221" s="12"/>
      <c r="T221" s="12"/>
      <c r="U221" s="12"/>
      <c r="V221" s="12"/>
      <c r="W221" s="12"/>
      <c r="X221" s="12"/>
    </row>
    <row r="222" spans="6:24" x14ac:dyDescent="0.35">
      <c r="F222" s="1"/>
      <c r="G222" s="1"/>
      <c r="H222" s="1"/>
      <c r="K222" s="11"/>
      <c r="Q222" s="1"/>
      <c r="R222" s="12"/>
      <c r="S222" s="12"/>
      <c r="T222" s="12"/>
      <c r="U222" s="12"/>
      <c r="V222" s="12"/>
      <c r="W222" s="12"/>
      <c r="X222" s="12"/>
    </row>
    <row r="223" spans="6:24" x14ac:dyDescent="0.35">
      <c r="F223" s="1"/>
      <c r="G223" s="1"/>
      <c r="H223" s="1"/>
      <c r="K223" s="11"/>
      <c r="Q223" s="1"/>
      <c r="R223" s="12"/>
      <c r="S223" s="12"/>
      <c r="T223" s="12"/>
      <c r="U223" s="12"/>
      <c r="V223" s="12"/>
      <c r="W223" s="12"/>
      <c r="X223" s="12"/>
    </row>
    <row r="224" spans="6:24" x14ac:dyDescent="0.35">
      <c r="F224" s="1"/>
      <c r="G224" s="1"/>
      <c r="H224" s="1"/>
      <c r="K224" s="11"/>
      <c r="Q224" s="1"/>
      <c r="R224" s="12"/>
      <c r="S224" s="12"/>
      <c r="T224" s="12"/>
      <c r="U224" s="12"/>
      <c r="V224" s="12"/>
      <c r="W224" s="12"/>
      <c r="X224" s="12"/>
    </row>
    <row r="225" spans="6:24" x14ac:dyDescent="0.35">
      <c r="F225" s="1"/>
      <c r="G225" s="1"/>
      <c r="H225" s="1"/>
      <c r="K225" s="11"/>
      <c r="Q225" s="1"/>
      <c r="R225" s="12"/>
      <c r="S225" s="12"/>
      <c r="T225" s="12"/>
      <c r="U225" s="12"/>
      <c r="V225" s="12"/>
      <c r="W225" s="12"/>
      <c r="X225" s="12"/>
    </row>
    <row r="226" spans="6:24" x14ac:dyDescent="0.35">
      <c r="F226" s="1"/>
      <c r="G226" s="1"/>
      <c r="H226" s="1"/>
      <c r="K226" s="11"/>
      <c r="Q226" s="1"/>
      <c r="R226" s="12"/>
      <c r="S226" s="12"/>
      <c r="T226" s="12"/>
      <c r="U226" s="12"/>
      <c r="V226" s="12"/>
      <c r="W226" s="12"/>
      <c r="X226" s="12"/>
    </row>
    <row r="227" spans="6:24" x14ac:dyDescent="0.35">
      <c r="F227" s="1"/>
      <c r="G227" s="1"/>
      <c r="H227" s="1"/>
      <c r="K227" s="11"/>
      <c r="Q227" s="1"/>
      <c r="R227" s="12"/>
      <c r="S227" s="12"/>
      <c r="T227" s="12"/>
      <c r="U227" s="12"/>
      <c r="V227" s="12"/>
      <c r="W227" s="12"/>
      <c r="X227" s="12"/>
    </row>
    <row r="228" spans="6:24" x14ac:dyDescent="0.35">
      <c r="F228" s="1"/>
      <c r="G228" s="1"/>
      <c r="H228" s="1"/>
      <c r="K228" s="11"/>
      <c r="Q228" s="1"/>
      <c r="R228" s="12"/>
      <c r="S228" s="12"/>
      <c r="T228" s="12"/>
      <c r="U228" s="12"/>
      <c r="V228" s="12"/>
      <c r="W228" s="12"/>
      <c r="X228" s="12"/>
    </row>
    <row r="229" spans="6:24" x14ac:dyDescent="0.35">
      <c r="F229" s="1"/>
      <c r="G229" s="1"/>
      <c r="H229" s="1"/>
      <c r="K229" s="11"/>
      <c r="Q229" s="1"/>
      <c r="R229" s="12"/>
      <c r="S229" s="12"/>
      <c r="T229" s="12"/>
      <c r="U229" s="12"/>
      <c r="V229" s="12"/>
      <c r="W229" s="12"/>
      <c r="X229" s="12"/>
    </row>
    <row r="230" spans="6:24" x14ac:dyDescent="0.35">
      <c r="F230" s="1"/>
      <c r="G230" s="1"/>
      <c r="H230" s="1"/>
      <c r="K230" s="11"/>
      <c r="Q230" s="1"/>
      <c r="R230" s="12"/>
      <c r="S230" s="12"/>
      <c r="T230" s="12"/>
      <c r="U230" s="12"/>
      <c r="V230" s="12"/>
      <c r="W230" s="12"/>
      <c r="X230" s="12"/>
    </row>
    <row r="231" spans="6:24" x14ac:dyDescent="0.35">
      <c r="F231" s="1"/>
      <c r="G231" s="1"/>
      <c r="H231" s="1"/>
      <c r="K231" s="11"/>
      <c r="Q231" s="1"/>
      <c r="R231" s="12"/>
      <c r="S231" s="12"/>
      <c r="T231" s="12"/>
      <c r="U231" s="12"/>
      <c r="V231" s="12"/>
      <c r="W231" s="12"/>
      <c r="X231" s="12"/>
    </row>
    <row r="232" spans="6:24" x14ac:dyDescent="0.35">
      <c r="F232" s="1"/>
      <c r="G232" s="92"/>
      <c r="H232" s="1"/>
      <c r="K232" s="11"/>
      <c r="Q232" s="1"/>
      <c r="R232" s="12"/>
      <c r="S232" s="12"/>
      <c r="T232" s="12"/>
      <c r="U232" s="12"/>
      <c r="V232" s="12"/>
      <c r="W232" s="12"/>
      <c r="X232" s="12"/>
    </row>
    <row r="233" spans="6:24" x14ac:dyDescent="0.35">
      <c r="F233" s="1"/>
      <c r="G233" s="92"/>
      <c r="H233" s="1"/>
      <c r="K233" s="11"/>
      <c r="Q233" s="1"/>
      <c r="R233" s="12"/>
      <c r="S233" s="12"/>
      <c r="T233" s="12"/>
      <c r="U233" s="12"/>
      <c r="V233" s="12"/>
      <c r="W233" s="12"/>
      <c r="X233" s="12"/>
    </row>
    <row r="234" spans="6:24" x14ac:dyDescent="0.35">
      <c r="F234" s="1"/>
      <c r="G234" s="92"/>
      <c r="H234" s="1"/>
      <c r="K234" s="11"/>
      <c r="Q234" s="1"/>
      <c r="R234" s="12"/>
      <c r="S234" s="12"/>
      <c r="T234" s="12"/>
      <c r="U234" s="12"/>
      <c r="V234" s="12"/>
      <c r="W234" s="12"/>
      <c r="X234" s="12"/>
    </row>
    <row r="235" spans="6:24" x14ac:dyDescent="0.35">
      <c r="F235" s="1"/>
      <c r="G235" s="92"/>
      <c r="H235" s="1"/>
      <c r="K235" s="11"/>
      <c r="Q235" s="1"/>
      <c r="R235" s="12"/>
      <c r="S235" s="12"/>
      <c r="T235" s="12"/>
      <c r="U235" s="12"/>
      <c r="V235" s="12"/>
      <c r="W235" s="12"/>
      <c r="X235" s="12"/>
    </row>
    <row r="236" spans="6:24" x14ac:dyDescent="0.35">
      <c r="F236" s="1"/>
      <c r="G236" s="1"/>
      <c r="H236" s="1"/>
      <c r="K236" s="11"/>
      <c r="Q236" s="1"/>
      <c r="R236" s="12"/>
      <c r="S236" s="12"/>
      <c r="T236" s="12"/>
      <c r="U236" s="12"/>
      <c r="V236" s="12"/>
      <c r="W236" s="12"/>
      <c r="X236" s="12"/>
    </row>
    <row r="237" spans="6:24" x14ac:dyDescent="0.35">
      <c r="F237" s="1"/>
      <c r="G237" s="1"/>
      <c r="H237" s="1"/>
      <c r="K237" s="11"/>
      <c r="Q237" s="1"/>
      <c r="R237" s="12"/>
      <c r="S237" s="12"/>
      <c r="T237" s="12"/>
      <c r="U237" s="12"/>
      <c r="V237" s="12"/>
      <c r="W237" s="12"/>
      <c r="X237" s="12"/>
    </row>
    <row r="238" spans="6:24" x14ac:dyDescent="0.35">
      <c r="F238" s="1"/>
      <c r="G238" s="1"/>
      <c r="H238" s="1"/>
      <c r="K238" s="11"/>
      <c r="Q238" s="1"/>
      <c r="R238" s="12"/>
      <c r="S238" s="12"/>
      <c r="T238" s="12"/>
      <c r="U238" s="12"/>
      <c r="V238" s="12"/>
      <c r="W238" s="12"/>
      <c r="X238" s="12"/>
    </row>
    <row r="239" spans="6:24" x14ac:dyDescent="0.35">
      <c r="F239" s="1"/>
      <c r="G239" s="1"/>
      <c r="H239" s="1"/>
      <c r="K239" s="11"/>
      <c r="Q239" s="1"/>
      <c r="R239" s="12"/>
      <c r="S239" s="12"/>
      <c r="T239" s="12"/>
      <c r="U239" s="12"/>
      <c r="V239" s="12"/>
      <c r="W239" s="12"/>
      <c r="X239" s="12"/>
    </row>
    <row r="240" spans="6:24" x14ac:dyDescent="0.35">
      <c r="F240" s="1"/>
      <c r="G240" s="92"/>
      <c r="H240" s="1"/>
      <c r="K240" s="11"/>
      <c r="Q240" s="1"/>
      <c r="R240" s="12"/>
      <c r="S240" s="12"/>
      <c r="T240" s="12"/>
      <c r="U240" s="12"/>
      <c r="V240" s="12"/>
      <c r="W240" s="12"/>
      <c r="X240" s="12"/>
    </row>
    <row r="241" spans="6:24" x14ac:dyDescent="0.35">
      <c r="F241" s="1"/>
      <c r="G241" s="92"/>
      <c r="H241" s="1"/>
      <c r="K241" s="11"/>
      <c r="Q241" s="1"/>
      <c r="R241" s="12"/>
      <c r="S241" s="12"/>
      <c r="T241" s="12"/>
      <c r="U241" s="12"/>
      <c r="V241" s="12"/>
      <c r="W241" s="12"/>
      <c r="X241" s="12"/>
    </row>
    <row r="242" spans="6:24" x14ac:dyDescent="0.35">
      <c r="F242" s="1"/>
      <c r="G242" s="92"/>
      <c r="H242" s="1"/>
      <c r="K242" s="11"/>
      <c r="Q242" s="1"/>
      <c r="R242" s="12"/>
      <c r="S242" s="12"/>
      <c r="T242" s="12"/>
      <c r="U242" s="12"/>
      <c r="V242" s="12"/>
      <c r="W242" s="12"/>
      <c r="X242" s="12"/>
    </row>
    <row r="243" spans="6:24" x14ac:dyDescent="0.35">
      <c r="F243" s="1"/>
      <c r="G243" s="92"/>
      <c r="H243" s="1"/>
      <c r="K243" s="11"/>
      <c r="Q243" s="1"/>
      <c r="R243" s="12"/>
      <c r="S243" s="12"/>
      <c r="T243" s="12"/>
      <c r="U243" s="12"/>
      <c r="V243" s="12"/>
      <c r="W243" s="12"/>
      <c r="X243" s="12"/>
    </row>
    <row r="244" spans="6:24" x14ac:dyDescent="0.35">
      <c r="F244" s="1"/>
      <c r="G244" s="92"/>
      <c r="H244" s="1"/>
      <c r="K244" s="11"/>
      <c r="Q244" s="1"/>
      <c r="R244" s="12"/>
      <c r="S244" s="12"/>
      <c r="T244" s="12"/>
      <c r="U244" s="12"/>
      <c r="V244" s="12"/>
      <c r="W244" s="12"/>
      <c r="X244" s="12"/>
    </row>
    <row r="245" spans="6:24" x14ac:dyDescent="0.35">
      <c r="F245" s="1"/>
      <c r="H245" s="1"/>
      <c r="K245" s="11"/>
      <c r="Q245" s="1"/>
      <c r="R245" s="12"/>
      <c r="S245" s="12"/>
      <c r="T245" s="12"/>
      <c r="U245" s="12"/>
      <c r="V245" s="12"/>
      <c r="W245" s="12"/>
      <c r="X245" s="12"/>
    </row>
    <row r="246" spans="6:24" x14ac:dyDescent="0.35">
      <c r="F246" s="1"/>
      <c r="H246" s="1"/>
      <c r="K246" s="11"/>
      <c r="Q246" s="1"/>
      <c r="R246" s="12"/>
      <c r="S246" s="12"/>
      <c r="T246" s="12"/>
      <c r="U246" s="12"/>
      <c r="V246" s="12"/>
      <c r="W246" s="12"/>
      <c r="X246" s="12"/>
    </row>
    <row r="247" spans="6:24" x14ac:dyDescent="0.35">
      <c r="F247" s="1"/>
      <c r="H247" s="1"/>
      <c r="K247" s="11"/>
      <c r="Q247" s="1"/>
      <c r="R247" s="12"/>
      <c r="S247" s="12"/>
      <c r="T247" s="12"/>
      <c r="U247" s="12"/>
      <c r="V247" s="12"/>
      <c r="W247" s="12"/>
      <c r="X247" s="12"/>
    </row>
    <row r="248" spans="6:24" x14ac:dyDescent="0.35">
      <c r="F248" s="1"/>
      <c r="H248" s="1"/>
      <c r="K248" s="11"/>
      <c r="Q248" s="1"/>
      <c r="R248" s="12"/>
      <c r="S248" s="12"/>
      <c r="T248" s="12"/>
      <c r="U248" s="12"/>
      <c r="V248" s="12"/>
      <c r="W248" s="12"/>
      <c r="X248" s="12"/>
    </row>
    <row r="249" spans="6:24" x14ac:dyDescent="0.35">
      <c r="F249" s="1"/>
      <c r="H249" s="1"/>
      <c r="K249" s="11"/>
      <c r="Q249" s="1"/>
      <c r="R249" s="12"/>
      <c r="S249" s="12"/>
      <c r="T249" s="12"/>
      <c r="U249" s="12"/>
      <c r="V249" s="12"/>
      <c r="W249" s="12"/>
      <c r="X249" s="12"/>
    </row>
    <row r="250" spans="6:24" x14ac:dyDescent="0.35">
      <c r="F250" s="1"/>
      <c r="H250" s="1"/>
      <c r="K250" s="11"/>
      <c r="Q250" s="1"/>
      <c r="R250" s="12"/>
      <c r="S250" s="12"/>
      <c r="T250" s="12"/>
      <c r="U250" s="12"/>
      <c r="V250" s="12"/>
      <c r="W250" s="12"/>
      <c r="X250" s="12"/>
    </row>
    <row r="251" spans="6:24" x14ac:dyDescent="0.35">
      <c r="F251" s="1"/>
      <c r="H251" s="1"/>
      <c r="K251" s="11"/>
      <c r="Q251" s="1"/>
      <c r="R251" s="12"/>
      <c r="S251" s="12"/>
      <c r="T251" s="12"/>
      <c r="U251" s="12"/>
      <c r="V251" s="12"/>
      <c r="W251" s="12"/>
      <c r="X251" s="12"/>
    </row>
    <row r="252" spans="6:24" x14ac:dyDescent="0.35">
      <c r="F252" s="1"/>
      <c r="H252" s="1"/>
      <c r="K252" s="11"/>
      <c r="Q252" s="1"/>
      <c r="R252" s="12"/>
      <c r="S252" s="12"/>
      <c r="T252" s="12"/>
      <c r="U252" s="12"/>
      <c r="V252" s="12"/>
      <c r="W252" s="12"/>
      <c r="X252" s="12"/>
    </row>
    <row r="253" spans="6:24" x14ac:dyDescent="0.35">
      <c r="F253" s="1"/>
      <c r="H253" s="1"/>
      <c r="K253" s="11"/>
      <c r="Q253" s="1"/>
      <c r="R253" s="12"/>
      <c r="S253" s="12"/>
      <c r="T253" s="12"/>
      <c r="U253" s="12"/>
      <c r="V253" s="12"/>
      <c r="W253" s="12"/>
      <c r="X253" s="12"/>
    </row>
    <row r="254" spans="6:24" x14ac:dyDescent="0.35">
      <c r="F254" s="1"/>
      <c r="H254" s="1"/>
      <c r="K254" s="11"/>
      <c r="Q254" s="1"/>
      <c r="R254" s="12"/>
      <c r="S254" s="12"/>
      <c r="T254" s="12"/>
      <c r="U254" s="12"/>
      <c r="V254" s="12"/>
      <c r="W254" s="12"/>
      <c r="X254" s="12"/>
    </row>
    <row r="255" spans="6:24" x14ac:dyDescent="0.35">
      <c r="F255" s="1"/>
      <c r="H255" s="1"/>
      <c r="K255" s="11"/>
      <c r="Q255" s="1"/>
      <c r="R255" s="12"/>
      <c r="S255" s="12"/>
      <c r="T255" s="12"/>
      <c r="U255" s="12"/>
      <c r="V255" s="12"/>
      <c r="W255" s="12"/>
      <c r="X255" s="12"/>
    </row>
    <row r="256" spans="6:24" x14ac:dyDescent="0.35">
      <c r="F256" s="1"/>
      <c r="H256" s="1"/>
      <c r="K256" s="11"/>
      <c r="Q256" s="1"/>
      <c r="R256" s="12"/>
      <c r="S256" s="12"/>
      <c r="T256" s="12"/>
      <c r="U256" s="12"/>
      <c r="V256" s="12"/>
      <c r="W256" s="12"/>
      <c r="X256" s="12"/>
    </row>
    <row r="257" spans="6:24" x14ac:dyDescent="0.35">
      <c r="F257" s="1"/>
      <c r="H257" s="1"/>
      <c r="K257" s="11"/>
      <c r="Q257" s="1"/>
      <c r="R257" s="12"/>
      <c r="S257" s="12"/>
      <c r="T257" s="12"/>
      <c r="U257" s="12"/>
      <c r="V257" s="12"/>
      <c r="W257" s="12"/>
      <c r="X257" s="12"/>
    </row>
    <row r="258" spans="6:24" x14ac:dyDescent="0.35">
      <c r="F258" s="1"/>
      <c r="G258" s="1"/>
      <c r="H258" s="1"/>
      <c r="K258" s="11"/>
      <c r="Q258" s="1"/>
      <c r="R258" s="12"/>
      <c r="S258" s="12"/>
      <c r="T258" s="12"/>
      <c r="U258" s="12"/>
      <c r="V258" s="12"/>
      <c r="W258" s="12"/>
      <c r="X258" s="12"/>
    </row>
    <row r="259" spans="6:24" x14ac:dyDescent="0.35">
      <c r="F259" s="1"/>
      <c r="G259" s="1"/>
      <c r="H259" s="1"/>
      <c r="K259" s="11"/>
      <c r="Q259" s="1"/>
      <c r="R259" s="12"/>
      <c r="S259" s="12"/>
      <c r="T259" s="12"/>
      <c r="U259" s="12"/>
      <c r="V259" s="12"/>
      <c r="W259" s="12"/>
      <c r="X259" s="12"/>
    </row>
    <row r="260" spans="6:24" x14ac:dyDescent="0.35">
      <c r="F260" s="1"/>
      <c r="G260" s="1"/>
      <c r="H260" s="1"/>
      <c r="K260" s="11"/>
      <c r="Q260" s="1"/>
      <c r="R260" s="12"/>
      <c r="S260" s="12"/>
      <c r="T260" s="12"/>
      <c r="U260" s="12"/>
      <c r="V260" s="12"/>
      <c r="W260" s="12"/>
      <c r="X260" s="12"/>
    </row>
    <row r="261" spans="6:24" x14ac:dyDescent="0.35">
      <c r="F261" s="1"/>
      <c r="G261" s="1"/>
      <c r="H261" s="1"/>
      <c r="K261" s="11"/>
      <c r="Q261" s="1"/>
      <c r="R261" s="12"/>
      <c r="S261" s="12"/>
      <c r="T261" s="12"/>
      <c r="U261" s="12"/>
      <c r="V261" s="12"/>
      <c r="W261" s="12"/>
      <c r="X261" s="12"/>
    </row>
    <row r="262" spans="6:24" x14ac:dyDescent="0.35">
      <c r="F262" s="1"/>
      <c r="H262" s="1"/>
      <c r="K262" s="11"/>
      <c r="Q262" s="1"/>
      <c r="R262" s="12"/>
      <c r="S262" s="12"/>
      <c r="T262" s="12"/>
      <c r="U262" s="12"/>
      <c r="V262" s="12"/>
      <c r="W262" s="12"/>
      <c r="X262" s="12"/>
    </row>
    <row r="263" spans="6:24" x14ac:dyDescent="0.35">
      <c r="F263" s="1"/>
      <c r="H263" s="1"/>
      <c r="K263" s="11"/>
      <c r="Q263" s="1"/>
      <c r="R263" s="12"/>
      <c r="S263" s="12"/>
      <c r="T263" s="12"/>
      <c r="U263" s="12"/>
      <c r="V263" s="12"/>
      <c r="W263" s="12"/>
      <c r="X263" s="12"/>
    </row>
    <row r="264" spans="6:24" x14ac:dyDescent="0.35">
      <c r="F264" s="1"/>
      <c r="H264" s="1"/>
      <c r="K264" s="11"/>
      <c r="Q264" s="1"/>
      <c r="R264" s="12"/>
      <c r="S264" s="12"/>
      <c r="T264" s="12"/>
      <c r="U264" s="12"/>
      <c r="V264" s="12"/>
      <c r="W264" s="12"/>
      <c r="X264" s="12"/>
    </row>
    <row r="265" spans="6:24" x14ac:dyDescent="0.35">
      <c r="F265" s="1"/>
      <c r="H265" s="1"/>
      <c r="K265" s="11"/>
      <c r="Q265" s="1"/>
      <c r="R265" s="12"/>
      <c r="S265" s="12"/>
      <c r="T265" s="12"/>
      <c r="U265" s="12"/>
      <c r="V265" s="12"/>
      <c r="W265" s="12"/>
      <c r="X265" s="12"/>
    </row>
    <row r="266" spans="6:24" x14ac:dyDescent="0.35">
      <c r="F266" s="1"/>
      <c r="G266" s="1"/>
      <c r="H266" s="1"/>
      <c r="K266" s="11"/>
      <c r="Q266" s="1"/>
      <c r="R266" s="12"/>
      <c r="S266" s="12"/>
      <c r="T266" s="12"/>
      <c r="U266" s="12"/>
      <c r="V266" s="12"/>
      <c r="W266" s="12"/>
      <c r="X266" s="12"/>
    </row>
    <row r="267" spans="6:24" x14ac:dyDescent="0.35">
      <c r="F267" s="1"/>
      <c r="G267" s="1"/>
      <c r="H267" s="1"/>
      <c r="K267" s="11"/>
      <c r="Q267" s="1"/>
      <c r="R267" s="12"/>
      <c r="S267" s="12"/>
      <c r="T267" s="12"/>
      <c r="U267" s="12"/>
      <c r="V267" s="12"/>
      <c r="W267" s="12"/>
      <c r="X267" s="12"/>
    </row>
    <row r="268" spans="6:24" x14ac:dyDescent="0.35">
      <c r="F268" s="1"/>
      <c r="G268" s="1"/>
      <c r="H268" s="1"/>
      <c r="K268" s="11"/>
      <c r="Q268" s="1"/>
      <c r="R268" s="12"/>
      <c r="S268" s="12"/>
      <c r="T268" s="12"/>
      <c r="U268" s="12"/>
      <c r="V268" s="12"/>
      <c r="W268" s="12"/>
      <c r="X268" s="12"/>
    </row>
    <row r="269" spans="6:24" x14ac:dyDescent="0.35">
      <c r="F269" s="1"/>
      <c r="G269" s="1"/>
      <c r="H269" s="1"/>
      <c r="K269" s="11"/>
      <c r="Q269" s="1"/>
      <c r="R269" s="12"/>
      <c r="S269" s="12"/>
      <c r="T269" s="12"/>
      <c r="U269" s="12"/>
      <c r="V269" s="12"/>
      <c r="W269" s="12"/>
      <c r="X269" s="12"/>
    </row>
    <row r="270" spans="6:24" x14ac:dyDescent="0.35">
      <c r="F270" s="1"/>
      <c r="H270" s="1"/>
      <c r="K270" s="11"/>
      <c r="Q270" s="1"/>
      <c r="R270" s="12"/>
      <c r="S270" s="12"/>
      <c r="T270" s="12"/>
      <c r="U270" s="12"/>
      <c r="V270" s="12"/>
      <c r="W270" s="12"/>
      <c r="X270" s="12"/>
    </row>
    <row r="271" spans="6:24" x14ac:dyDescent="0.35">
      <c r="F271" s="1"/>
      <c r="H271" s="1"/>
      <c r="K271" s="11"/>
      <c r="Q271" s="1"/>
      <c r="R271" s="12"/>
      <c r="S271" s="12"/>
      <c r="T271" s="12"/>
      <c r="U271" s="12"/>
      <c r="V271" s="12"/>
      <c r="W271" s="12"/>
      <c r="X271" s="12"/>
    </row>
    <row r="272" spans="6:24" x14ac:dyDescent="0.35">
      <c r="F272" s="1"/>
      <c r="H272" s="1"/>
      <c r="K272" s="11"/>
      <c r="Q272" s="1"/>
      <c r="R272" s="12"/>
      <c r="S272" s="12"/>
      <c r="T272" s="12"/>
      <c r="U272" s="12"/>
      <c r="V272" s="12"/>
      <c r="W272" s="12"/>
      <c r="X272" s="12"/>
    </row>
    <row r="273" spans="6:24" x14ac:dyDescent="0.35">
      <c r="F273" s="1"/>
      <c r="H273" s="1"/>
      <c r="K273" s="11"/>
      <c r="Q273" s="1"/>
      <c r="R273" s="12"/>
      <c r="S273" s="12"/>
      <c r="T273" s="12"/>
      <c r="U273" s="12"/>
      <c r="V273" s="12"/>
      <c r="W273" s="12"/>
      <c r="X273" s="12"/>
    </row>
    <row r="274" spans="6:24" x14ac:dyDescent="0.35">
      <c r="F274" s="1"/>
      <c r="H274" s="1"/>
      <c r="K274" s="11"/>
      <c r="Q274" s="1"/>
      <c r="R274" s="12"/>
      <c r="S274" s="12"/>
      <c r="T274" s="12"/>
      <c r="U274" s="12"/>
      <c r="V274" s="12"/>
      <c r="W274" s="12"/>
      <c r="X274" s="12"/>
    </row>
    <row r="275" spans="6:24" x14ac:dyDescent="0.35">
      <c r="F275" s="1"/>
      <c r="H275" s="1"/>
      <c r="K275" s="11"/>
      <c r="Q275" s="1"/>
      <c r="R275" s="12"/>
      <c r="S275" s="12"/>
      <c r="T275" s="12"/>
      <c r="U275" s="12"/>
      <c r="V275" s="12"/>
      <c r="W275" s="12"/>
      <c r="X275" s="12"/>
    </row>
    <row r="276" spans="6:24" x14ac:dyDescent="0.35">
      <c r="F276" s="1"/>
      <c r="H276" s="1"/>
      <c r="K276" s="11"/>
      <c r="Q276" s="1"/>
      <c r="R276" s="12"/>
      <c r="S276" s="12"/>
      <c r="T276" s="12"/>
      <c r="U276" s="12"/>
      <c r="V276" s="12"/>
      <c r="W276" s="12"/>
      <c r="X276" s="12"/>
    </row>
    <row r="277" spans="6:24" x14ac:dyDescent="0.35">
      <c r="F277" s="1"/>
      <c r="H277" s="1"/>
      <c r="K277" s="11"/>
      <c r="Q277" s="1"/>
      <c r="R277" s="12"/>
      <c r="S277" s="12"/>
      <c r="T277" s="12"/>
      <c r="U277" s="12"/>
      <c r="V277" s="12"/>
      <c r="W277" s="12"/>
      <c r="X277" s="12"/>
    </row>
    <row r="278" spans="6:24" x14ac:dyDescent="0.35">
      <c r="F278" s="1"/>
      <c r="H278" s="1"/>
      <c r="K278" s="11"/>
      <c r="Q278" s="1"/>
      <c r="R278" s="12"/>
      <c r="S278" s="12"/>
      <c r="T278" s="12"/>
      <c r="U278" s="12"/>
      <c r="V278" s="12"/>
      <c r="W278" s="12"/>
      <c r="X278" s="12"/>
    </row>
    <row r="279" spans="6:24" x14ac:dyDescent="0.35">
      <c r="F279" s="1"/>
      <c r="H279" s="1"/>
      <c r="K279" s="11"/>
      <c r="Q279" s="1"/>
      <c r="R279" s="12"/>
      <c r="S279" s="12"/>
      <c r="T279" s="12"/>
      <c r="U279" s="12"/>
      <c r="V279" s="12"/>
      <c r="W279" s="12"/>
      <c r="X279" s="12"/>
    </row>
    <row r="280" spans="6:24" x14ac:dyDescent="0.35">
      <c r="F280" s="1"/>
      <c r="H280" s="1"/>
      <c r="K280" s="11"/>
      <c r="Q280" s="1"/>
      <c r="R280" s="12"/>
      <c r="S280" s="12"/>
      <c r="T280" s="12"/>
      <c r="U280" s="12"/>
      <c r="V280" s="12"/>
      <c r="W280" s="12"/>
      <c r="X280" s="12"/>
    </row>
    <row r="281" spans="6:24" x14ac:dyDescent="0.35">
      <c r="F281" s="1"/>
      <c r="H281" s="1"/>
      <c r="K281" s="11"/>
      <c r="Q281" s="1"/>
      <c r="R281" s="12"/>
      <c r="S281" s="12"/>
      <c r="T281" s="12"/>
      <c r="U281" s="12"/>
      <c r="V281" s="12"/>
      <c r="W281" s="12"/>
      <c r="X281" s="12"/>
    </row>
    <row r="282" spans="6:24" x14ac:dyDescent="0.35">
      <c r="F282" s="1"/>
      <c r="H282" s="1"/>
      <c r="K282" s="11"/>
      <c r="Q282" s="1"/>
      <c r="R282" s="12"/>
      <c r="S282" s="12"/>
      <c r="T282" s="12"/>
      <c r="U282" s="12"/>
      <c r="V282" s="12"/>
      <c r="W282" s="12"/>
      <c r="X282" s="12"/>
    </row>
    <row r="283" spans="6:24" x14ac:dyDescent="0.35">
      <c r="F283" s="1"/>
      <c r="H283" s="1"/>
      <c r="K283" s="11"/>
      <c r="Q283" s="1"/>
      <c r="R283" s="12"/>
      <c r="S283" s="12"/>
      <c r="T283" s="12"/>
      <c r="U283" s="12"/>
      <c r="V283" s="12"/>
      <c r="W283" s="12"/>
      <c r="X283" s="12"/>
    </row>
    <row r="284" spans="6:24" x14ac:dyDescent="0.35">
      <c r="F284" s="1"/>
      <c r="H284" s="1"/>
      <c r="K284" s="11"/>
      <c r="Q284" s="1"/>
      <c r="R284" s="12"/>
      <c r="S284" s="12"/>
      <c r="T284" s="12"/>
      <c r="U284" s="12"/>
      <c r="V284" s="12"/>
      <c r="W284" s="12"/>
      <c r="X284" s="12"/>
    </row>
    <row r="285" spans="6:24" x14ac:dyDescent="0.35">
      <c r="F285" s="1"/>
      <c r="H285" s="1"/>
      <c r="K285" s="11"/>
      <c r="Q285" s="1"/>
      <c r="R285" s="12"/>
      <c r="S285" s="12"/>
      <c r="T285" s="12"/>
      <c r="U285" s="12"/>
      <c r="V285" s="12"/>
      <c r="W285" s="12"/>
      <c r="X285" s="12"/>
    </row>
    <row r="286" spans="6:24" x14ac:dyDescent="0.35">
      <c r="F286" s="1"/>
      <c r="H286" s="1"/>
      <c r="K286" s="11"/>
      <c r="Q286" s="1"/>
      <c r="R286" s="12"/>
      <c r="S286" s="12"/>
      <c r="T286" s="12"/>
      <c r="U286" s="12"/>
      <c r="V286" s="12"/>
      <c r="W286" s="12"/>
      <c r="X286" s="12"/>
    </row>
    <row r="287" spans="6:24" x14ac:dyDescent="0.35">
      <c r="F287" s="1"/>
      <c r="H287" s="1"/>
      <c r="K287" s="11"/>
      <c r="Q287" s="1"/>
      <c r="R287" s="12"/>
      <c r="S287" s="12"/>
      <c r="T287" s="12"/>
      <c r="U287" s="12"/>
      <c r="V287" s="12"/>
      <c r="W287" s="12"/>
      <c r="X287" s="12"/>
    </row>
    <row r="288" spans="6:24" x14ac:dyDescent="0.35">
      <c r="F288" s="1"/>
      <c r="H288" s="1"/>
      <c r="K288" s="11"/>
      <c r="Q288" s="1"/>
      <c r="R288" s="12"/>
      <c r="S288" s="12"/>
      <c r="T288" s="12"/>
      <c r="U288" s="12"/>
      <c r="V288" s="12"/>
      <c r="W288" s="12"/>
      <c r="X288" s="12"/>
    </row>
    <row r="289" spans="6:24" x14ac:dyDescent="0.35">
      <c r="F289" s="1"/>
      <c r="H289" s="1"/>
      <c r="K289" s="11"/>
      <c r="Q289" s="1"/>
      <c r="R289" s="12"/>
      <c r="S289" s="12"/>
      <c r="T289" s="12"/>
      <c r="U289" s="12"/>
      <c r="V289" s="12"/>
      <c r="W289" s="12"/>
      <c r="X289" s="12"/>
    </row>
    <row r="290" spans="6:24" x14ac:dyDescent="0.35">
      <c r="F290" s="1"/>
      <c r="H290" s="1"/>
      <c r="K290" s="11"/>
      <c r="Q290" s="1"/>
      <c r="R290" s="12"/>
      <c r="S290" s="12"/>
      <c r="T290" s="12"/>
      <c r="U290" s="12"/>
      <c r="V290" s="12"/>
      <c r="W290" s="12"/>
      <c r="X290" s="12"/>
    </row>
    <row r="291" spans="6:24" x14ac:dyDescent="0.35">
      <c r="F291" s="1"/>
      <c r="H291" s="1"/>
      <c r="K291" s="11"/>
      <c r="Q291" s="1"/>
      <c r="R291" s="12"/>
      <c r="S291" s="12"/>
      <c r="T291" s="12"/>
      <c r="U291" s="12"/>
      <c r="V291" s="12"/>
      <c r="W291" s="12"/>
      <c r="X291" s="12"/>
    </row>
    <row r="292" spans="6:24" x14ac:dyDescent="0.35">
      <c r="F292" s="1"/>
      <c r="H292" s="1"/>
      <c r="K292" s="11"/>
      <c r="Q292" s="1"/>
      <c r="R292" s="12"/>
      <c r="S292" s="12"/>
      <c r="T292" s="12"/>
      <c r="U292" s="12"/>
      <c r="V292" s="12"/>
      <c r="W292" s="12"/>
      <c r="X292" s="12"/>
    </row>
    <row r="293" spans="6:24" x14ac:dyDescent="0.35">
      <c r="F293" s="1"/>
      <c r="H293" s="1"/>
      <c r="K293" s="11"/>
      <c r="Q293" s="1"/>
      <c r="R293" s="12"/>
      <c r="S293" s="12"/>
      <c r="T293" s="12"/>
      <c r="U293" s="12"/>
      <c r="V293" s="12"/>
      <c r="W293" s="12"/>
      <c r="X293" s="12"/>
    </row>
    <row r="294" spans="6:24" x14ac:dyDescent="0.35">
      <c r="F294" s="1"/>
      <c r="H294" s="1"/>
      <c r="K294" s="11"/>
      <c r="Q294" s="1"/>
      <c r="R294" s="12"/>
      <c r="S294" s="12"/>
      <c r="T294" s="12"/>
      <c r="U294" s="12"/>
      <c r="V294" s="12"/>
      <c r="W294" s="12"/>
      <c r="X294" s="12"/>
    </row>
    <row r="295" spans="6:24" x14ac:dyDescent="0.35">
      <c r="F295" s="1"/>
      <c r="H295" s="1"/>
      <c r="K295" s="11"/>
      <c r="Q295" s="1"/>
      <c r="R295" s="12"/>
      <c r="S295" s="12"/>
      <c r="T295" s="12"/>
      <c r="U295" s="12"/>
      <c r="V295" s="12"/>
      <c r="W295" s="12"/>
      <c r="X295" s="12"/>
    </row>
    <row r="296" spans="6:24" x14ac:dyDescent="0.35">
      <c r="F296" s="1"/>
      <c r="H296" s="1"/>
      <c r="K296" s="11"/>
      <c r="Q296" s="1"/>
      <c r="R296" s="12"/>
      <c r="S296" s="12"/>
      <c r="T296" s="12"/>
      <c r="U296" s="12"/>
      <c r="V296" s="12"/>
      <c r="W296" s="12"/>
      <c r="X296" s="12"/>
    </row>
    <row r="297" spans="6:24" x14ac:dyDescent="0.35">
      <c r="F297" s="1"/>
      <c r="H297" s="1"/>
      <c r="K297" s="11"/>
      <c r="Q297" s="1"/>
      <c r="R297" s="12"/>
      <c r="S297" s="12"/>
      <c r="T297" s="12"/>
      <c r="U297" s="12"/>
      <c r="V297" s="12"/>
      <c r="W297" s="12"/>
      <c r="X297" s="12"/>
    </row>
    <row r="298" spans="6:24" x14ac:dyDescent="0.35">
      <c r="F298" s="1"/>
      <c r="H298" s="1"/>
      <c r="K298" s="11"/>
      <c r="Q298" s="1"/>
      <c r="R298" s="12"/>
      <c r="S298" s="12"/>
      <c r="T298" s="12"/>
      <c r="U298" s="12"/>
      <c r="V298" s="12"/>
      <c r="W298" s="12"/>
      <c r="X298" s="12"/>
    </row>
    <row r="299" spans="6:24" x14ac:dyDescent="0.35">
      <c r="F299" s="1"/>
      <c r="H299" s="1"/>
      <c r="K299" s="11"/>
      <c r="Q299" s="1"/>
      <c r="R299" s="12"/>
      <c r="S299" s="12"/>
      <c r="T299" s="12"/>
      <c r="U299" s="12"/>
      <c r="V299" s="12"/>
      <c r="W299" s="12"/>
      <c r="X299" s="12"/>
    </row>
    <row r="300" spans="6:24" x14ac:dyDescent="0.35">
      <c r="F300" s="1"/>
      <c r="H300" s="1"/>
      <c r="K300" s="11"/>
      <c r="Q300" s="1"/>
      <c r="R300" s="12"/>
      <c r="S300" s="12"/>
      <c r="T300" s="12"/>
      <c r="U300" s="12"/>
      <c r="V300" s="12"/>
      <c r="W300" s="12"/>
      <c r="X300" s="12"/>
    </row>
    <row r="301" spans="6:24" x14ac:dyDescent="0.35">
      <c r="F301" s="1"/>
      <c r="H301" s="1"/>
      <c r="K301" s="11"/>
      <c r="Q301" s="1"/>
      <c r="R301" s="12"/>
      <c r="S301" s="12"/>
      <c r="T301" s="12"/>
      <c r="U301" s="12"/>
      <c r="V301" s="12"/>
      <c r="W301" s="12"/>
      <c r="X301" s="12"/>
    </row>
    <row r="302" spans="6:24" x14ac:dyDescent="0.35">
      <c r="F302" s="1"/>
      <c r="H302" s="1"/>
      <c r="K302" s="11"/>
      <c r="Q302" s="1"/>
      <c r="R302" s="12"/>
      <c r="S302" s="12"/>
      <c r="T302" s="12"/>
      <c r="U302" s="12"/>
      <c r="V302" s="12"/>
      <c r="W302" s="12"/>
      <c r="X302" s="12"/>
    </row>
    <row r="303" spans="6:24" x14ac:dyDescent="0.35">
      <c r="F303" s="1"/>
      <c r="H303" s="1"/>
      <c r="K303" s="11"/>
      <c r="Q303" s="1"/>
      <c r="R303" s="12"/>
      <c r="S303" s="12"/>
      <c r="T303" s="12"/>
      <c r="U303" s="12"/>
      <c r="V303" s="12"/>
      <c r="W303" s="12"/>
      <c r="X303" s="12"/>
    </row>
    <row r="304" spans="6:24" x14ac:dyDescent="0.35">
      <c r="F304" s="1"/>
      <c r="H304" s="1"/>
      <c r="K304" s="11"/>
      <c r="Q304" s="1"/>
      <c r="R304" s="12"/>
      <c r="S304" s="12"/>
      <c r="T304" s="12"/>
      <c r="U304" s="12"/>
      <c r="V304" s="12"/>
      <c r="W304" s="12"/>
      <c r="X304" s="12"/>
    </row>
    <row r="305" spans="6:24" x14ac:dyDescent="0.35">
      <c r="F305" s="1"/>
      <c r="H305" s="1"/>
      <c r="K305" s="11"/>
      <c r="Q305" s="1"/>
      <c r="R305" s="12"/>
      <c r="S305" s="12"/>
      <c r="T305" s="12"/>
      <c r="U305" s="12"/>
      <c r="V305" s="12"/>
      <c r="W305" s="12"/>
      <c r="X305" s="12"/>
    </row>
    <row r="306" spans="6:24" x14ac:dyDescent="0.35">
      <c r="F306" s="1"/>
      <c r="H306" s="1"/>
      <c r="K306" s="11"/>
      <c r="Q306" s="1"/>
      <c r="R306" s="12"/>
      <c r="S306" s="12"/>
      <c r="T306" s="12"/>
      <c r="U306" s="12"/>
      <c r="V306" s="12"/>
      <c r="W306" s="12"/>
      <c r="X306" s="12"/>
    </row>
    <row r="307" spans="6:24" x14ac:dyDescent="0.35">
      <c r="F307" s="1"/>
      <c r="H307" s="1"/>
      <c r="K307" s="11"/>
      <c r="Q307" s="1"/>
      <c r="R307" s="12"/>
      <c r="S307" s="12"/>
      <c r="T307" s="12"/>
      <c r="U307" s="12"/>
      <c r="V307" s="12"/>
      <c r="W307" s="12"/>
      <c r="X307" s="12"/>
    </row>
    <row r="308" spans="6:24" x14ac:dyDescent="0.35">
      <c r="F308" s="1"/>
      <c r="H308" s="1"/>
      <c r="K308" s="11"/>
      <c r="Q308" s="1"/>
      <c r="R308" s="12"/>
      <c r="S308" s="12"/>
      <c r="T308" s="12"/>
      <c r="U308" s="12"/>
      <c r="V308" s="12"/>
      <c r="W308" s="12"/>
      <c r="X308" s="12"/>
    </row>
    <row r="309" spans="6:24" x14ac:dyDescent="0.35">
      <c r="F309" s="1"/>
      <c r="H309" s="1"/>
      <c r="K309" s="11"/>
      <c r="Q309" s="1"/>
      <c r="R309" s="12"/>
      <c r="S309" s="12"/>
      <c r="T309" s="12"/>
      <c r="U309" s="12"/>
      <c r="V309" s="12"/>
      <c r="W309" s="12"/>
      <c r="X309" s="12"/>
    </row>
    <row r="310" spans="6:24" x14ac:dyDescent="0.35">
      <c r="F310" s="1"/>
      <c r="H310" s="1"/>
      <c r="K310" s="11"/>
      <c r="Q310" s="1"/>
      <c r="R310" s="12"/>
      <c r="S310" s="12"/>
      <c r="T310" s="12"/>
      <c r="U310" s="12"/>
      <c r="V310" s="12"/>
      <c r="W310" s="12"/>
      <c r="X310" s="12"/>
    </row>
    <row r="311" spans="6:24" x14ac:dyDescent="0.35">
      <c r="F311" s="1"/>
      <c r="H311" s="1"/>
      <c r="K311" s="11"/>
      <c r="Q311" s="1"/>
      <c r="R311" s="12"/>
      <c r="S311" s="12"/>
      <c r="T311" s="12"/>
      <c r="U311" s="12"/>
      <c r="V311" s="12"/>
      <c r="W311" s="12"/>
      <c r="X311" s="12"/>
    </row>
    <row r="312" spans="6:24" x14ac:dyDescent="0.35">
      <c r="F312" s="1"/>
      <c r="H312" s="1"/>
      <c r="K312" s="11"/>
      <c r="Q312" s="1"/>
      <c r="R312" s="12"/>
      <c r="S312" s="12"/>
      <c r="T312" s="12"/>
      <c r="U312" s="12"/>
      <c r="V312" s="12"/>
      <c r="W312" s="12"/>
      <c r="X312" s="12"/>
    </row>
    <row r="313" spans="6:24" x14ac:dyDescent="0.35">
      <c r="F313" s="1"/>
      <c r="H313" s="92"/>
      <c r="K313" s="11"/>
      <c r="Q313" s="1"/>
      <c r="R313" s="12"/>
      <c r="S313" s="12"/>
      <c r="T313" s="12"/>
      <c r="U313" s="12"/>
      <c r="V313" s="12"/>
      <c r="W313" s="12"/>
      <c r="X313" s="12"/>
    </row>
    <row r="314" spans="6:24" x14ac:dyDescent="0.35">
      <c r="F314" s="1"/>
      <c r="G314" s="1"/>
      <c r="H314" s="1"/>
      <c r="K314" s="11"/>
      <c r="Q314" s="1"/>
      <c r="R314" s="12"/>
      <c r="S314" s="12"/>
      <c r="T314" s="12"/>
      <c r="U314" s="12"/>
      <c r="V314" s="12"/>
      <c r="W314" s="12"/>
      <c r="X314" s="12"/>
    </row>
    <row r="315" spans="6:24" x14ac:dyDescent="0.35">
      <c r="F315" s="1"/>
      <c r="G315" s="1"/>
      <c r="H315" s="1"/>
      <c r="K315" s="11"/>
      <c r="Q315" s="1"/>
      <c r="R315" s="12"/>
      <c r="S315" s="12"/>
      <c r="T315" s="12"/>
      <c r="U315" s="12"/>
      <c r="V315" s="12"/>
      <c r="W315" s="12"/>
      <c r="X315" s="12"/>
    </row>
    <row r="316" spans="6:24" x14ac:dyDescent="0.35">
      <c r="F316" s="1"/>
      <c r="G316" s="1"/>
      <c r="H316" s="1"/>
      <c r="K316" s="11"/>
      <c r="Q316" s="1"/>
      <c r="R316" s="12"/>
      <c r="S316" s="12"/>
      <c r="T316" s="12"/>
      <c r="U316" s="12"/>
      <c r="V316" s="12"/>
      <c r="W316" s="12"/>
      <c r="X316" s="12"/>
    </row>
    <row r="317" spans="6:24" x14ac:dyDescent="0.35">
      <c r="F317" s="1"/>
      <c r="G317" s="1"/>
      <c r="H317" s="1"/>
      <c r="K317" s="11"/>
      <c r="Q317" s="1"/>
      <c r="R317" s="12"/>
      <c r="S317" s="12"/>
      <c r="T317" s="12"/>
      <c r="U317" s="12"/>
      <c r="V317" s="12"/>
      <c r="W317" s="12"/>
      <c r="X317" s="12"/>
    </row>
    <row r="318" spans="6:24" x14ac:dyDescent="0.35">
      <c r="F318" s="1"/>
      <c r="H318" s="1"/>
      <c r="K318" s="11"/>
      <c r="Q318" s="1"/>
      <c r="R318" s="12"/>
      <c r="S318" s="12"/>
      <c r="T318" s="12"/>
      <c r="U318" s="12"/>
      <c r="V318" s="12"/>
      <c r="W318" s="12"/>
      <c r="X318" s="12"/>
    </row>
    <row r="319" spans="6:24" x14ac:dyDescent="0.35">
      <c r="F319" s="1"/>
      <c r="H319" s="1"/>
      <c r="K319" s="11"/>
      <c r="Q319" s="1"/>
      <c r="R319" s="12"/>
      <c r="S319" s="12"/>
      <c r="T319" s="12"/>
      <c r="U319" s="12"/>
      <c r="V319" s="12"/>
      <c r="W319" s="12"/>
      <c r="X319" s="12"/>
    </row>
    <row r="320" spans="6:24" x14ac:dyDescent="0.35">
      <c r="F320" s="1"/>
      <c r="K320" s="11"/>
      <c r="Q320" s="1"/>
      <c r="R320" s="12"/>
      <c r="S320" s="12"/>
      <c r="T320" s="12"/>
      <c r="U320" s="12"/>
      <c r="V320" s="12"/>
      <c r="W320" s="12"/>
      <c r="X320" s="12"/>
    </row>
    <row r="321" spans="6:24" x14ac:dyDescent="0.35">
      <c r="F321" s="1"/>
      <c r="K321" s="11"/>
      <c r="Q321" s="1"/>
      <c r="R321" s="12"/>
      <c r="S321" s="12"/>
      <c r="T321" s="12"/>
      <c r="U321" s="12"/>
      <c r="V321" s="12"/>
      <c r="W321" s="12"/>
      <c r="X321" s="12"/>
    </row>
    <row r="322" spans="6:24" x14ac:dyDescent="0.35">
      <c r="F322" s="1"/>
      <c r="K322" s="11"/>
      <c r="Q322" s="1"/>
      <c r="R322" s="12"/>
      <c r="S322" s="12"/>
      <c r="T322" s="12"/>
      <c r="U322" s="12"/>
      <c r="V322" s="12"/>
      <c r="W322" s="12"/>
      <c r="X322" s="12"/>
    </row>
    <row r="323" spans="6:24" x14ac:dyDescent="0.35">
      <c r="F323" s="1"/>
      <c r="K323" s="11"/>
      <c r="Q323" s="1"/>
      <c r="R323" s="12"/>
      <c r="S323" s="12"/>
      <c r="T323" s="12"/>
      <c r="U323" s="12"/>
      <c r="V323" s="12"/>
      <c r="W323" s="12"/>
      <c r="X323" s="12"/>
    </row>
    <row r="324" spans="6:24" x14ac:dyDescent="0.35">
      <c r="F324" s="1"/>
      <c r="K324" s="11"/>
      <c r="Q324" s="1"/>
      <c r="R324" s="12"/>
      <c r="S324" s="12"/>
      <c r="T324" s="12"/>
      <c r="U324" s="12"/>
      <c r="V324" s="12"/>
      <c r="W324" s="12"/>
      <c r="X324" s="12"/>
    </row>
    <row r="325" spans="6:24" x14ac:dyDescent="0.35">
      <c r="F325" s="1"/>
      <c r="K325" s="11"/>
      <c r="Q325" s="1"/>
      <c r="R325" s="12"/>
      <c r="S325" s="12"/>
      <c r="T325" s="12"/>
      <c r="U325" s="12"/>
      <c r="V325" s="12"/>
      <c r="W325" s="12"/>
      <c r="X325" s="12"/>
    </row>
    <row r="326" spans="6:24" x14ac:dyDescent="0.35">
      <c r="F326" s="1"/>
      <c r="K326" s="11"/>
      <c r="Q326" s="1"/>
      <c r="R326" s="12"/>
      <c r="S326" s="12"/>
      <c r="T326" s="12"/>
      <c r="U326" s="12"/>
      <c r="V326" s="12"/>
      <c r="W326" s="12"/>
      <c r="X326" s="12"/>
    </row>
    <row r="327" spans="6:24" x14ac:dyDescent="0.35">
      <c r="F327" s="1"/>
      <c r="K327" s="11"/>
      <c r="Q327" s="1"/>
      <c r="R327" s="12"/>
      <c r="S327" s="12"/>
      <c r="T327" s="12"/>
      <c r="U327" s="12"/>
      <c r="V327" s="12"/>
      <c r="W327" s="12"/>
      <c r="X327" s="12"/>
    </row>
    <row r="328" spans="6:24" x14ac:dyDescent="0.35">
      <c r="F328" s="1"/>
      <c r="K328" s="11"/>
      <c r="Q328" s="1"/>
      <c r="R328" s="12"/>
      <c r="S328" s="12"/>
      <c r="T328" s="12"/>
      <c r="U328" s="12"/>
      <c r="V328" s="12"/>
      <c r="W328" s="12"/>
      <c r="X328" s="12"/>
    </row>
    <row r="329" spans="6:24" x14ac:dyDescent="0.35">
      <c r="F329" s="1"/>
      <c r="K329" s="11"/>
      <c r="Q329" s="1"/>
      <c r="R329" s="12"/>
      <c r="S329" s="12"/>
      <c r="T329" s="12"/>
      <c r="U329" s="12"/>
      <c r="V329" s="12"/>
      <c r="W329" s="12"/>
      <c r="X329" s="12"/>
    </row>
    <row r="330" spans="6:24" x14ac:dyDescent="0.35">
      <c r="F330" s="1"/>
      <c r="K330" s="11"/>
      <c r="Q330" s="1"/>
      <c r="R330" s="12"/>
      <c r="S330" s="12"/>
      <c r="T330" s="12"/>
      <c r="U330" s="12"/>
      <c r="V330" s="12"/>
      <c r="W330" s="12"/>
      <c r="X330" s="12"/>
    </row>
    <row r="331" spans="6:24" x14ac:dyDescent="0.35">
      <c r="F331" s="1"/>
      <c r="K331" s="11"/>
      <c r="Q331" s="1"/>
      <c r="R331" s="12"/>
      <c r="S331" s="12"/>
      <c r="T331" s="12"/>
      <c r="U331" s="12"/>
      <c r="V331" s="12"/>
      <c r="W331" s="12"/>
      <c r="X331" s="12"/>
    </row>
    <row r="332" spans="6:24" x14ac:dyDescent="0.35">
      <c r="F332" s="1"/>
      <c r="K332" s="11"/>
      <c r="Q332" s="1"/>
      <c r="R332" s="12"/>
      <c r="S332" s="12"/>
      <c r="T332" s="12"/>
      <c r="U332" s="12"/>
      <c r="V332" s="12"/>
      <c r="W332" s="12"/>
      <c r="X332" s="12"/>
    </row>
    <row r="333" spans="6:24" x14ac:dyDescent="0.35">
      <c r="F333" s="1"/>
      <c r="K333" s="11"/>
      <c r="Q333" s="1"/>
      <c r="R333" s="12"/>
      <c r="S333" s="12"/>
      <c r="T333" s="12"/>
      <c r="U333" s="12"/>
      <c r="V333" s="12"/>
      <c r="W333" s="12"/>
      <c r="X333" s="12"/>
    </row>
    <row r="334" spans="6:24" x14ac:dyDescent="0.35">
      <c r="F334" s="1"/>
      <c r="K334" s="11"/>
      <c r="Q334" s="1"/>
      <c r="R334" s="12"/>
      <c r="S334" s="12"/>
      <c r="T334" s="12"/>
      <c r="U334" s="12"/>
      <c r="V334" s="12"/>
      <c r="W334" s="12"/>
      <c r="X334" s="12"/>
    </row>
    <row r="335" spans="6:24" x14ac:dyDescent="0.35">
      <c r="F335" s="1"/>
      <c r="K335" s="11"/>
      <c r="Q335" s="1"/>
      <c r="R335" s="12"/>
      <c r="S335" s="12"/>
      <c r="T335" s="12"/>
      <c r="U335" s="12"/>
      <c r="V335" s="12"/>
      <c r="W335" s="12"/>
      <c r="X335" s="12"/>
    </row>
    <row r="336" spans="6:24" x14ac:dyDescent="0.35">
      <c r="F336" s="1"/>
      <c r="K336" s="11"/>
      <c r="Q336" s="1"/>
      <c r="R336" s="12"/>
      <c r="S336" s="12"/>
      <c r="T336" s="12"/>
      <c r="U336" s="12"/>
      <c r="V336" s="12"/>
      <c r="W336" s="12"/>
      <c r="X336" s="12"/>
    </row>
    <row r="337" spans="6:24" x14ac:dyDescent="0.35">
      <c r="F337" s="1"/>
      <c r="K337" s="11"/>
      <c r="Q337" s="1"/>
      <c r="R337" s="12"/>
      <c r="S337" s="12"/>
      <c r="T337" s="12"/>
      <c r="U337" s="12"/>
      <c r="V337" s="12"/>
      <c r="W337" s="12"/>
      <c r="X337" s="12"/>
    </row>
    <row r="338" spans="6:24" x14ac:dyDescent="0.35">
      <c r="F338" s="1"/>
      <c r="K338" s="11"/>
      <c r="Q338" s="1"/>
      <c r="R338" s="12"/>
      <c r="S338" s="12"/>
      <c r="T338" s="12"/>
      <c r="U338" s="12"/>
      <c r="V338" s="12"/>
      <c r="W338" s="12"/>
      <c r="X338" s="12"/>
    </row>
    <row r="339" spans="6:24" x14ac:dyDescent="0.35">
      <c r="F339" s="1"/>
      <c r="K339" s="11"/>
      <c r="Q339" s="1"/>
      <c r="R339" s="12"/>
      <c r="S339" s="12"/>
      <c r="T339" s="12"/>
      <c r="U339" s="12"/>
      <c r="V339" s="12"/>
      <c r="W339" s="12"/>
      <c r="X339" s="12"/>
    </row>
    <row r="340" spans="6:24" x14ac:dyDescent="0.35">
      <c r="F340" s="1"/>
      <c r="K340" s="11"/>
      <c r="Q340" s="1"/>
      <c r="R340" s="12"/>
      <c r="S340" s="12"/>
      <c r="T340" s="12"/>
      <c r="U340" s="12"/>
      <c r="V340" s="12"/>
      <c r="W340" s="12"/>
      <c r="X340" s="12"/>
    </row>
    <row r="341" spans="6:24" x14ac:dyDescent="0.35">
      <c r="F341" s="1"/>
      <c r="H341" s="1"/>
      <c r="K341" s="11"/>
      <c r="Q341" s="1"/>
      <c r="R341" s="12"/>
      <c r="S341" s="12"/>
      <c r="T341" s="12"/>
      <c r="U341" s="12"/>
      <c r="V341" s="12"/>
      <c r="W341" s="12"/>
      <c r="X341" s="12"/>
    </row>
    <row r="342" spans="6:24" x14ac:dyDescent="0.35">
      <c r="F342" s="1"/>
      <c r="G342" s="1"/>
      <c r="H342" s="1"/>
      <c r="K342" s="11"/>
      <c r="Q342" s="1"/>
    </row>
    <row r="343" spans="6:24" x14ac:dyDescent="0.35">
      <c r="F343" s="1"/>
      <c r="G343" s="1"/>
      <c r="H343" s="1"/>
      <c r="K343" s="11"/>
      <c r="Q343" s="1"/>
    </row>
    <row r="344" spans="6:24" x14ac:dyDescent="0.35">
      <c r="F344" s="1"/>
      <c r="H344" s="1"/>
      <c r="K344" s="11"/>
      <c r="Q344" s="1"/>
    </row>
    <row r="345" spans="6:24" x14ac:dyDescent="0.35">
      <c r="F345" s="1"/>
      <c r="G345" s="1"/>
      <c r="H345" s="1"/>
      <c r="K345" s="11"/>
      <c r="Q345" s="1"/>
    </row>
    <row r="346" spans="6:24" x14ac:dyDescent="0.35">
      <c r="F346" s="1"/>
      <c r="G346" s="92"/>
      <c r="H346" s="92"/>
      <c r="K346" s="11"/>
      <c r="Q346" s="92"/>
    </row>
    <row r="347" spans="6:24" x14ac:dyDescent="0.35">
      <c r="F347" s="1"/>
      <c r="G347" s="1"/>
      <c r="H347" s="1"/>
      <c r="K347" s="11"/>
      <c r="Q347" s="1"/>
    </row>
    <row r="348" spans="6:24" x14ac:dyDescent="0.35">
      <c r="F348" s="1"/>
      <c r="G348" s="1"/>
      <c r="H348" s="1"/>
      <c r="K348" s="11"/>
      <c r="Q348" s="1"/>
    </row>
    <row r="349" spans="6:24" x14ac:dyDescent="0.35">
      <c r="F349" s="1"/>
      <c r="G349" s="92"/>
      <c r="H349" s="1"/>
      <c r="K349" s="11"/>
      <c r="Q349" s="1"/>
    </row>
    <row r="350" spans="6:24" x14ac:dyDescent="0.35">
      <c r="F350" s="1"/>
      <c r="G350" s="92"/>
      <c r="H350" s="1"/>
      <c r="K350" s="11"/>
      <c r="Q350" s="1"/>
    </row>
    <row r="351" spans="6:24" x14ac:dyDescent="0.35">
      <c r="F351" s="1"/>
      <c r="G351" s="92"/>
      <c r="H351" s="92"/>
      <c r="K351" s="11"/>
      <c r="Q351" s="1"/>
    </row>
    <row r="352" spans="6:24" x14ac:dyDescent="0.35">
      <c r="F352" s="1"/>
      <c r="H352" s="92"/>
      <c r="K352" s="11"/>
      <c r="Q352" s="1"/>
    </row>
    <row r="353" spans="6:17" x14ac:dyDescent="0.35">
      <c r="F353" s="1"/>
      <c r="H353" s="92"/>
      <c r="K353" s="11"/>
      <c r="Q353" s="1"/>
    </row>
    <row r="354" spans="6:17" x14ac:dyDescent="0.35">
      <c r="F354" s="1"/>
      <c r="K354" s="11"/>
      <c r="Q354" s="1"/>
    </row>
    <row r="355" spans="6:17" x14ac:dyDescent="0.35">
      <c r="F355" s="1"/>
      <c r="K355" s="11"/>
      <c r="Q355" s="1"/>
    </row>
    <row r="356" spans="6:17" x14ac:dyDescent="0.35">
      <c r="F356" s="1"/>
      <c r="K356" s="11"/>
      <c r="Q356" s="1"/>
    </row>
    <row r="357" spans="6:17" x14ac:dyDescent="0.35">
      <c r="F357" s="1"/>
      <c r="K357" s="11"/>
      <c r="Q357" s="1"/>
    </row>
    <row r="358" spans="6:17" x14ac:dyDescent="0.35">
      <c r="F358" s="1"/>
      <c r="K358" s="11"/>
      <c r="Q358" s="1"/>
    </row>
    <row r="359" spans="6:17" x14ac:dyDescent="0.35">
      <c r="F359" s="1"/>
      <c r="K359" s="11"/>
      <c r="Q359" s="1"/>
    </row>
    <row r="360" spans="6:17" x14ac:dyDescent="0.35">
      <c r="F360" s="1"/>
      <c r="K360" s="11"/>
      <c r="Q360" s="1"/>
    </row>
    <row r="361" spans="6:17" x14ac:dyDescent="0.35">
      <c r="F361" s="1"/>
      <c r="K361" s="11"/>
      <c r="Q361" s="1"/>
    </row>
    <row r="362" spans="6:17" x14ac:dyDescent="0.35">
      <c r="F362" s="1"/>
      <c r="K362" s="11"/>
      <c r="Q362" s="1"/>
    </row>
    <row r="363" spans="6:17" x14ac:dyDescent="0.35">
      <c r="F363" s="1"/>
      <c r="K363" s="11"/>
      <c r="Q363" s="1"/>
    </row>
    <row r="364" spans="6:17" x14ac:dyDescent="0.35">
      <c r="F364" s="1"/>
      <c r="G364" s="1"/>
      <c r="H364" s="1"/>
      <c r="K364" s="11"/>
      <c r="Q364" s="1"/>
    </row>
    <row r="365" spans="6:17" x14ac:dyDescent="0.35">
      <c r="F365" s="1"/>
      <c r="G365" s="1"/>
      <c r="H365" s="1"/>
      <c r="K365" s="11"/>
      <c r="Q365" s="1"/>
    </row>
    <row r="366" spans="6:17" x14ac:dyDescent="0.35">
      <c r="F366" s="1"/>
      <c r="K366" s="11"/>
      <c r="Q366" s="1"/>
    </row>
    <row r="367" spans="6:17" x14ac:dyDescent="0.35">
      <c r="F367" s="1"/>
      <c r="G367" s="92"/>
      <c r="H367" s="92"/>
      <c r="K367" s="11"/>
      <c r="Q367" s="1"/>
    </row>
    <row r="368" spans="6:17" x14ac:dyDescent="0.35">
      <c r="F368" s="1"/>
      <c r="G368" s="92"/>
      <c r="H368" s="92"/>
      <c r="K368" s="11"/>
      <c r="Q368" s="1"/>
    </row>
    <row r="369" spans="6:17" x14ac:dyDescent="0.35">
      <c r="F369" s="1"/>
      <c r="K369" s="11"/>
      <c r="Q369" s="1"/>
    </row>
    <row r="370" spans="6:17" x14ac:dyDescent="0.35">
      <c r="F370" s="1"/>
      <c r="K370" s="11"/>
      <c r="Q370" s="1"/>
    </row>
    <row r="371" spans="6:17" x14ac:dyDescent="0.35">
      <c r="F371" s="1"/>
      <c r="K371" s="11"/>
      <c r="Q371" s="1"/>
    </row>
    <row r="372" spans="6:17" x14ac:dyDescent="0.35">
      <c r="F372" s="1"/>
      <c r="K372" s="11"/>
      <c r="Q372" s="1"/>
    </row>
    <row r="373" spans="6:17" x14ac:dyDescent="0.35">
      <c r="F373" s="1"/>
      <c r="K373" s="11"/>
      <c r="Q373" s="1"/>
    </row>
    <row r="374" spans="6:17" x14ac:dyDescent="0.35">
      <c r="F374" s="1"/>
      <c r="K374" s="11"/>
      <c r="Q374" s="1"/>
    </row>
    <row r="375" spans="6:17" x14ac:dyDescent="0.35">
      <c r="F375" s="1"/>
      <c r="H375" s="1"/>
      <c r="K375" s="11"/>
      <c r="Q375" s="1"/>
    </row>
    <row r="376" spans="6:17" x14ac:dyDescent="0.35">
      <c r="F376" s="92"/>
      <c r="Q376" s="92"/>
    </row>
    <row r="377" spans="6:17" x14ac:dyDescent="0.35">
      <c r="F377" s="92"/>
      <c r="Q377" s="92"/>
    </row>
    <row r="378" spans="6:17" x14ac:dyDescent="0.35">
      <c r="F378" s="92"/>
      <c r="H378" s="92"/>
      <c r="Q378" s="92"/>
    </row>
  </sheetData>
  <autoFilter ref="A1:AO175" xr:uid="{D9E833F5-9011-40B0-8F19-78CC86570632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2"/>
  <sheetViews>
    <sheetView topLeftCell="R1" zoomScale="90" zoomScaleNormal="90" workbookViewId="0">
      <selection activeCell="AB11" sqref="AB11"/>
    </sheetView>
  </sheetViews>
  <sheetFormatPr baseColWidth="10" defaultColWidth="9.1796875" defaultRowHeight="14.5" x14ac:dyDescent="0.35"/>
  <cols>
    <col min="1" max="1" width="9.81640625" bestFit="1" customWidth="1"/>
    <col min="6" max="8" width="11.1796875" customWidth="1"/>
    <col min="17" max="17" width="16.54296875" customWidth="1"/>
    <col min="18" max="18" width="14.81640625" bestFit="1" customWidth="1"/>
    <col min="19" max="19" width="15.54296875" bestFit="1" customWidth="1"/>
    <col min="20" max="20" width="15.90625" customWidth="1"/>
    <col min="21" max="21" width="15.54296875" bestFit="1" customWidth="1"/>
    <col min="22" max="22" width="16.54296875" customWidth="1"/>
    <col min="23" max="23" width="12.453125" customWidth="1"/>
    <col min="28" max="28" width="12.453125" customWidth="1"/>
    <col min="29" max="29" width="14.54296875" bestFit="1" customWidth="1"/>
    <col min="33" max="33" width="13.54296875" customWidth="1"/>
    <col min="34" max="34" width="19.7265625" customWidth="1"/>
    <col min="36" max="36" width="13.453125" customWidth="1"/>
  </cols>
  <sheetData>
    <row r="1" spans="1:36" x14ac:dyDescent="0.35">
      <c r="A1" t="s">
        <v>98</v>
      </c>
      <c r="B1" t="s">
        <v>99</v>
      </c>
      <c r="E1" t="s">
        <v>100</v>
      </c>
    </row>
    <row r="2" spans="1:36" x14ac:dyDescent="0.35">
      <c r="A2">
        <v>131442001</v>
      </c>
      <c r="B2" t="s">
        <v>101</v>
      </c>
      <c r="E2" t="s">
        <v>102</v>
      </c>
    </row>
    <row r="3" spans="1:36" x14ac:dyDescent="0.35">
      <c r="A3" s="7">
        <v>135442001</v>
      </c>
      <c r="B3" t="s">
        <v>101</v>
      </c>
    </row>
    <row r="4" spans="1:36" x14ac:dyDescent="0.35">
      <c r="A4" s="7">
        <v>135442002</v>
      </c>
      <c r="B4" t="s">
        <v>101</v>
      </c>
    </row>
    <row r="6" spans="1:36" x14ac:dyDescent="0.35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62</v>
      </c>
      <c r="L6" t="s">
        <v>174</v>
      </c>
      <c r="M6" t="s">
        <v>175</v>
      </c>
      <c r="N6" t="s">
        <v>63</v>
      </c>
      <c r="O6" t="s">
        <v>64</v>
      </c>
      <c r="P6" t="s">
        <v>65</v>
      </c>
      <c r="Q6" t="s">
        <v>66</v>
      </c>
      <c r="R6" t="s">
        <v>67</v>
      </c>
      <c r="S6" t="s">
        <v>68</v>
      </c>
      <c r="T6" t="s">
        <v>69</v>
      </c>
      <c r="U6" t="s">
        <v>70</v>
      </c>
      <c r="V6" t="s">
        <v>71</v>
      </c>
      <c r="W6" t="s">
        <v>72</v>
      </c>
      <c r="X6" t="s">
        <v>73</v>
      </c>
      <c r="Y6" t="s">
        <v>103</v>
      </c>
      <c r="Z6" t="s">
        <v>104</v>
      </c>
      <c r="AA6" t="s">
        <v>76</v>
      </c>
      <c r="AB6" t="s">
        <v>77</v>
      </c>
      <c r="AC6" t="s">
        <v>88</v>
      </c>
      <c r="AD6" t="s">
        <v>79</v>
      </c>
      <c r="AE6" t="s">
        <v>85</v>
      </c>
      <c r="AF6" t="s">
        <v>87</v>
      </c>
      <c r="AG6" t="s">
        <v>105</v>
      </c>
      <c r="AH6" t="s">
        <v>106</v>
      </c>
      <c r="AI6" t="s">
        <v>86</v>
      </c>
      <c r="AJ6" s="8" t="s">
        <v>1</v>
      </c>
    </row>
    <row r="7" spans="1:36" s="98" customFormat="1" x14ac:dyDescent="0.35">
      <c r="A7">
        <v>131442001</v>
      </c>
      <c r="B7">
        <v>80</v>
      </c>
      <c r="C7">
        <v>86970</v>
      </c>
      <c r="D7">
        <v>7790</v>
      </c>
      <c r="E7">
        <v>0</v>
      </c>
      <c r="F7" s="1">
        <v>46142</v>
      </c>
      <c r="G7" s="1">
        <v>46146</v>
      </c>
      <c r="H7" s="1">
        <v>46142</v>
      </c>
      <c r="I7">
        <v>4</v>
      </c>
      <c r="J7">
        <v>2</v>
      </c>
      <c r="K7" s="11">
        <v>18.5</v>
      </c>
      <c r="L7">
        <v>2</v>
      </c>
      <c r="M7">
        <v>0</v>
      </c>
      <c r="N7" t="s">
        <v>92</v>
      </c>
      <c r="O7" t="s">
        <v>107</v>
      </c>
      <c r="P7">
        <v>641</v>
      </c>
      <c r="Q7" s="1" t="s">
        <v>108</v>
      </c>
      <c r="R7" s="12">
        <v>46142</v>
      </c>
      <c r="S7" s="12">
        <v>650000000</v>
      </c>
      <c r="T7" s="12">
        <v>-650000000</v>
      </c>
      <c r="U7" s="12">
        <v>-470640.91</v>
      </c>
      <c r="V7" s="12">
        <v>-650000000</v>
      </c>
      <c r="W7" s="12">
        <v>-329451.84999999998</v>
      </c>
      <c r="X7" s="98">
        <v>0</v>
      </c>
      <c r="Y7" t="str">
        <f>TRIM(O7)</f>
        <v/>
      </c>
      <c r="Z7" s="98">
        <v>1</v>
      </c>
      <c r="AA7" s="98" t="e">
        <v>#N/A</v>
      </c>
      <c r="AB7" s="98" t="e">
        <v>#N/A</v>
      </c>
      <c r="AC7" s="99">
        <f>-T7-W7</f>
        <v>650329451.85000002</v>
      </c>
      <c r="AD7" s="100">
        <f>Diccionario!$M$2</f>
        <v>1.4999999999999999E-2</v>
      </c>
      <c r="AE7" s="100">
        <f>+IF(Z7&lt;3,AD7,1)</f>
        <v>1.4999999999999999E-2</v>
      </c>
      <c r="AF7" s="98">
        <f>+IF(Z7&lt;=1,1,IF(Z7=2,2,3))</f>
        <v>1</v>
      </c>
      <c r="AG7" s="100">
        <f>+AD7*(1+'[2]Pesos escenarios'!$F$8/2)</f>
        <v>1.9992310733576803E-2</v>
      </c>
      <c r="AH7" s="101">
        <f>1-(1-AG7)^(1/365)</f>
        <v>5.532685614750843E-5</v>
      </c>
      <c r="AI7" s="100">
        <f>IF(Z7&lt;=3,Diccionario!$O$2,IF(Z7=4,Diccionario!$O$5,Diccionario!$O$6))</f>
        <v>0.66499985814979368</v>
      </c>
      <c r="AJ7" s="102">
        <f>+AC7*AH7*AI7</f>
        <v>23927.149776742866</v>
      </c>
    </row>
    <row r="8" spans="1:36" x14ac:dyDescent="0.35">
      <c r="A8">
        <v>131442001</v>
      </c>
      <c r="B8">
        <v>80</v>
      </c>
      <c r="C8">
        <v>500285</v>
      </c>
      <c r="D8">
        <v>7789</v>
      </c>
      <c r="E8">
        <v>0</v>
      </c>
      <c r="F8" s="1">
        <v>46142</v>
      </c>
      <c r="G8" s="1">
        <v>46146</v>
      </c>
      <c r="H8" s="1">
        <v>46142</v>
      </c>
      <c r="I8">
        <v>4</v>
      </c>
      <c r="J8">
        <v>2</v>
      </c>
      <c r="K8" s="11">
        <v>14</v>
      </c>
      <c r="L8">
        <v>2</v>
      </c>
      <c r="M8">
        <v>0</v>
      </c>
      <c r="N8" t="s">
        <v>92</v>
      </c>
      <c r="O8" t="s">
        <v>107</v>
      </c>
      <c r="P8">
        <v>641</v>
      </c>
      <c r="Q8" s="1" t="s">
        <v>108</v>
      </c>
      <c r="R8" s="12">
        <v>46142</v>
      </c>
      <c r="S8" s="12">
        <v>250000000</v>
      </c>
      <c r="T8" s="12">
        <v>-250000000</v>
      </c>
      <c r="U8" s="12">
        <v>-181015.74</v>
      </c>
      <c r="V8" s="12">
        <v>-250000000</v>
      </c>
      <c r="W8" s="12">
        <v>-95890.5</v>
      </c>
      <c r="X8" s="98">
        <v>0</v>
      </c>
      <c r="Y8" t="str">
        <f t="shared" ref="Y8" si="0">TRIM(O8)</f>
        <v/>
      </c>
      <c r="Z8" s="98">
        <v>1</v>
      </c>
      <c r="AA8" s="98" t="e">
        <v>#N/A</v>
      </c>
      <c r="AB8" s="98" t="e">
        <v>#N/A</v>
      </c>
      <c r="AC8" s="99">
        <f>-T8-W8</f>
        <v>250095890.5</v>
      </c>
      <c r="AD8" s="100">
        <f>Diccionario!$M$2</f>
        <v>1.4999999999999999E-2</v>
      </c>
      <c r="AE8" s="100">
        <f>+IF(Z8&lt;3,AD8,1)</f>
        <v>1.4999999999999999E-2</v>
      </c>
      <c r="AF8" s="98">
        <f>+IF(Z8&lt;=1,1,IF(Z8=2,2,3))</f>
        <v>1</v>
      </c>
      <c r="AG8" s="100">
        <f>+AD8*(1+'[2]Pesos escenarios'!$F$8/2)</f>
        <v>1.9992310733576803E-2</v>
      </c>
      <c r="AH8" s="101">
        <f>1-(1-AG8)^(1/365)</f>
        <v>5.532685614750843E-5</v>
      </c>
      <c r="AI8" s="100">
        <f>IF(Z8&lt;=3,Diccionario!$O$2,IF(Z8=4,Diccionario!$O$5,Diccionario!$O$6))</f>
        <v>0.66499985814979368</v>
      </c>
      <c r="AJ8" s="102">
        <f>+AC8*AH8*AI8</f>
        <v>9201.6159094723353</v>
      </c>
    </row>
    <row r="11" spans="1:36" x14ac:dyDescent="0.35">
      <c r="R11" s="123"/>
      <c r="S11" s="124"/>
    </row>
    <row r="12" spans="1:36" x14ac:dyDescent="0.35">
      <c r="R12" s="123"/>
      <c r="S12" s="12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70"/>
  <sheetViews>
    <sheetView showGridLines="0" tabSelected="1" zoomScaleNormal="100" workbookViewId="0">
      <pane ySplit="1" topLeftCell="A2" activePane="bottomLeft" state="frozen"/>
      <selection activeCell="AI7" sqref="AI7:AI8"/>
      <selection pane="bottomLeft" activeCell="I2" sqref="I2"/>
    </sheetView>
  </sheetViews>
  <sheetFormatPr baseColWidth="10" defaultColWidth="10.81640625" defaultRowHeight="14.5" x14ac:dyDescent="0.35"/>
  <cols>
    <col min="1" max="1" width="8.1796875" bestFit="1" customWidth="1"/>
    <col min="2" max="2" width="17.81640625" customWidth="1"/>
    <col min="3" max="3" width="13.54296875" customWidth="1"/>
    <col min="4" max="4" width="18.1796875" style="2" bestFit="1" customWidth="1"/>
    <col min="5" max="5" width="18.81640625" style="2" bestFit="1" customWidth="1"/>
    <col min="6" max="6" width="29.81640625" bestFit="1" customWidth="1"/>
    <col min="7" max="7" width="13.453125" style="12" customWidth="1"/>
    <col min="8" max="8" width="10" style="12" customWidth="1"/>
    <col min="9" max="9" width="13.54296875" style="12" customWidth="1"/>
    <col min="10" max="10" width="9.7265625" style="12" customWidth="1"/>
    <col min="11" max="11" width="10" style="12" customWidth="1"/>
    <col min="12" max="12" width="10" customWidth="1"/>
    <col min="13" max="13" width="9.1796875" customWidth="1"/>
    <col min="15" max="15" width="14" bestFit="1" customWidth="1"/>
    <col min="23" max="23" width="12.81640625" bestFit="1" customWidth="1"/>
  </cols>
  <sheetData>
    <row r="1" spans="1:23" x14ac:dyDescent="0.35">
      <c r="A1" s="17" t="s">
        <v>110</v>
      </c>
      <c r="B1" s="17" t="s">
        <v>111</v>
      </c>
      <c r="C1" s="17" t="s">
        <v>112</v>
      </c>
      <c r="D1" s="115" t="s">
        <v>113</v>
      </c>
      <c r="E1" s="115" t="s">
        <v>114</v>
      </c>
      <c r="F1" s="17" t="s">
        <v>115</v>
      </c>
      <c r="G1" s="18" t="s">
        <v>116</v>
      </c>
      <c r="H1" s="17" t="s">
        <v>117</v>
      </c>
      <c r="I1" s="17" t="s">
        <v>118</v>
      </c>
      <c r="J1" s="17" t="s">
        <v>119</v>
      </c>
      <c r="K1" s="17" t="s">
        <v>87</v>
      </c>
      <c r="L1" s="17" t="s">
        <v>79</v>
      </c>
      <c r="M1" s="17" t="s">
        <v>86</v>
      </c>
      <c r="N1" s="17" t="s">
        <v>120</v>
      </c>
      <c r="O1" s="17" t="s">
        <v>121</v>
      </c>
      <c r="P1" s="17" t="s">
        <v>66</v>
      </c>
      <c r="Q1" s="17" t="s">
        <v>90</v>
      </c>
      <c r="T1" s="117" t="s">
        <v>122</v>
      </c>
      <c r="U1" s="117"/>
      <c r="V1" s="117"/>
      <c r="W1" s="131">
        <v>1382.7578000000001</v>
      </c>
    </row>
    <row r="2" spans="1:23" x14ac:dyDescent="0.35">
      <c r="A2">
        <v>59257</v>
      </c>
      <c r="B2" s="98" t="s">
        <v>123</v>
      </c>
      <c r="C2" s="113">
        <f>VLOOKUP($A2,[3]Hoja1!$C$5:$BZ$72,3,FALSE)</f>
        <v>1400000</v>
      </c>
      <c r="D2" s="113">
        <f>VLOOKUP($A2,[3]Hoja1!$C$5:$BZ$72,50,FALSE)</f>
        <v>688025.3</v>
      </c>
      <c r="E2" s="113">
        <f>VLOOKUP($A2,[3]Hoja1!$C$5:$BZ$72,51,FALSE)*$W$1</f>
        <v>0</v>
      </c>
      <c r="F2" s="2">
        <f>+C2-D2-E2</f>
        <v>711974.7</v>
      </c>
      <c r="G2" s="114">
        <f>IF(F2&gt;C2,C2,IF(F2&gt;0,F2,0))</f>
        <v>711974.7</v>
      </c>
      <c r="H2" s="4"/>
      <c r="I2" s="4" t="s">
        <v>123</v>
      </c>
      <c r="J2" s="3">
        <f>IF(I2="Sit.Normal","1",IF(I2="Riesgo Potencia","2",IF(I2="Con problemas","3",IF(I2="Alto Riesgo","4",IF(I2="Irrecuperable","5",IF(I2="Irrec Disp Tecn","6",0))))))*1</f>
        <v>4</v>
      </c>
      <c r="K2" s="3">
        <f>+IF(J2&lt;=1,1,IF(J2=2,2,3))</f>
        <v>3</v>
      </c>
      <c r="L2" s="4">
        <f>+IF(J2=1,Diccionario!$M$2,IF(J2=2,Diccionario!$M$3,1))</f>
        <v>1</v>
      </c>
      <c r="M2" s="4">
        <f>IF(J2&lt;=3,Diccionario!$O$2,IF(J2=4,Diccionario!$O$5,Diccionario!$O$6))</f>
        <v>0.92250106026350687</v>
      </c>
      <c r="N2" s="19">
        <v>0.4</v>
      </c>
      <c r="O2" s="3">
        <f>+G2*L2*M2*N2*(1+'[2]Pesos escenarios'!$F$8/2)</f>
        <v>350157.28059469315</v>
      </c>
      <c r="P2" t="s">
        <v>94</v>
      </c>
      <c r="Q2" t="str">
        <f>+IF(ISBLANK(H2),"Saldo no utilizado TC","Saldo no utilizado ACC")</f>
        <v>Saldo no utilizado TC</v>
      </c>
    </row>
    <row r="3" spans="1:23" x14ac:dyDescent="0.35">
      <c r="A3">
        <v>83994</v>
      </c>
      <c r="B3" s="98" t="s">
        <v>109</v>
      </c>
      <c r="C3" s="113">
        <f>VLOOKUP($A3,[3]Hoja1!$C$5:$BZ$72,3,FALSE)</f>
        <v>4000000</v>
      </c>
      <c r="D3" s="113">
        <f>VLOOKUP($A3,[3]Hoja1!$C$5:$BZ$72,50,FALSE)</f>
        <v>1559958.99</v>
      </c>
      <c r="E3" s="113">
        <f>VLOOKUP($A3,[3]Hoja1!$C$5:$BZ$72,51,FALSE)*$W$1</f>
        <v>18376.851161999999</v>
      </c>
      <c r="F3" s="2">
        <f t="shared" ref="F3:F61" si="0">+C3-D3-E3</f>
        <v>2421664.1588379997</v>
      </c>
      <c r="G3" s="114">
        <f>IF(F3&gt;C3,C3,IF(F3&gt;0,F3,0))</f>
        <v>2421664.1588379997</v>
      </c>
      <c r="H3" s="4"/>
      <c r="I3" s="4" t="str">
        <f t="shared" ref="I3:I32" si="1">+TRIM(B3)</f>
        <v>Sit.Normal</v>
      </c>
      <c r="J3" s="3">
        <f>IF(I3="Sit.Normal","1",IF(I3="Riesgo Potencia","2",IF(I3="Con problemas","3",IF(I3="Alto Riesgo","4",IF(I3="Irrecuperable","5",IF(I3="Irrec Disp Tecn","6",0))))))*1</f>
        <v>1</v>
      </c>
      <c r="K3" s="3">
        <f>+IF(J3&lt;=1,1,IF(J3=2,2,3))</f>
        <v>1</v>
      </c>
      <c r="L3" s="4">
        <f>+IF(J3=1,Diccionario!$M$2,IF(J3=2,Diccionario!$M$3,1))</f>
        <v>1.4999999999999999E-2</v>
      </c>
      <c r="M3" s="4">
        <f>IF(J3&lt;=3,Diccionario!$O$2,IF(J3=4,Diccionario!$O$5,Diccionario!$O$6))</f>
        <v>0.66499985814979368</v>
      </c>
      <c r="N3" s="19">
        <v>0.4</v>
      </c>
      <c r="O3" s="3">
        <f>+G3*L3*M3*N3*(1+'[2]Pesos escenarios'!$F$8/2)</f>
        <v>12878.297439605542</v>
      </c>
      <c r="P3" t="s">
        <v>94</v>
      </c>
      <c r="Q3" t="str">
        <f t="shared" ref="Q3:Q62" si="2">+IF(ISBLANK(H3),"Saldo no utilizado TC","Saldo no utilizado ACC")</f>
        <v>Saldo no utilizado TC</v>
      </c>
    </row>
    <row r="4" spans="1:23" x14ac:dyDescent="0.35">
      <c r="A4">
        <v>53465</v>
      </c>
      <c r="B4" s="98" t="s">
        <v>109</v>
      </c>
      <c r="C4" s="113">
        <f>VLOOKUP($A4,[3]Hoja1!$C$5:$BZ$72,3,FALSE)</f>
        <v>180000</v>
      </c>
      <c r="D4" s="113">
        <f>VLOOKUP($A4,[3]Hoja1!$C$5:$BZ$72,50,FALSE)</f>
        <v>134.31</v>
      </c>
      <c r="E4" s="113">
        <f>VLOOKUP($A4,[3]Hoja1!$C$5:$BZ$72,51,FALSE)*$W$1</f>
        <v>0</v>
      </c>
      <c r="F4" s="2">
        <f>+C4-D4-E4</f>
        <v>179865.69</v>
      </c>
      <c r="G4" s="114">
        <f>IF(F4&gt;C4,C4,IF(F4&gt;0,F4,0))</f>
        <v>179865.69</v>
      </c>
      <c r="H4" s="4"/>
      <c r="I4" s="4" t="str">
        <f t="shared" si="1"/>
        <v>Sit.Normal</v>
      </c>
      <c r="J4" s="3">
        <f t="shared" ref="J4:J32" si="3">IF(I4="Sit.Normal","1",IF(I4="Riesgo Potencia","2",IF(I4="Con problemas","3",IF(I4="Alto Riesgo","4",IF(I4="Irrecuperable","5",IF(I4="Irrec Disp Tecn","6",0))))))*1</f>
        <v>1</v>
      </c>
      <c r="K4" s="3">
        <f t="shared" ref="K4:K62" si="4">+IF(J4&lt;=1,1,IF(J4=2,2,3))</f>
        <v>1</v>
      </c>
      <c r="L4" s="4">
        <f>+IF(J4=1,Diccionario!$M$2,IF(J4=2,Diccionario!$M$3,1))</f>
        <v>1.4999999999999999E-2</v>
      </c>
      <c r="M4" s="4">
        <f>IF(J4&lt;=3,Diccionario!$O$2,IF(J4=4,Diccionario!$O$5,Diccionario!$O$6))</f>
        <v>0.66499985814979368</v>
      </c>
      <c r="N4" s="19">
        <v>0.4</v>
      </c>
      <c r="O4" s="3">
        <f>+G4*L4*M4*N4*(1+'[2]Pesos escenarios'!$F$8/2)</f>
        <v>956.51737940051828</v>
      </c>
      <c r="P4" t="s">
        <v>94</v>
      </c>
      <c r="Q4" t="str">
        <f t="shared" si="2"/>
        <v>Saldo no utilizado TC</v>
      </c>
    </row>
    <row r="5" spans="1:23" x14ac:dyDescent="0.35">
      <c r="A5">
        <v>58922</v>
      </c>
      <c r="B5" s="98" t="s">
        <v>109</v>
      </c>
      <c r="C5" s="113">
        <f>VLOOKUP($A5,[3]Hoja1!$C$5:$BZ$72,3,FALSE)</f>
        <v>1600000</v>
      </c>
      <c r="D5" s="113">
        <f>VLOOKUP($A5,[3]Hoja1!$C$5:$BZ$72,50,FALSE)</f>
        <v>842958.19</v>
      </c>
      <c r="E5" s="113">
        <f>VLOOKUP($A5,[3]Hoja1!$C$5:$BZ$72,51,FALSE)*$W$1</f>
        <v>0</v>
      </c>
      <c r="F5" s="2">
        <f t="shared" si="0"/>
        <v>757041.81</v>
      </c>
      <c r="G5" s="114">
        <f t="shared" ref="G5:G56" si="5">IF(F5&gt;C5,C5,IF(F5&gt;0,F5,0))</f>
        <v>757041.81</v>
      </c>
      <c r="H5" s="4"/>
      <c r="I5" s="4" t="str">
        <f t="shared" si="1"/>
        <v>Sit.Normal</v>
      </c>
      <c r="J5" s="3">
        <f t="shared" si="3"/>
        <v>1</v>
      </c>
      <c r="K5" s="3">
        <f t="shared" si="4"/>
        <v>1</v>
      </c>
      <c r="L5" s="4">
        <f>+IF(J5=1,Diccionario!$M$2,IF(J5=2,Diccionario!$M$3,1))</f>
        <v>1.4999999999999999E-2</v>
      </c>
      <c r="M5" s="4">
        <f>IF(J5&lt;=3,Diccionario!$O$2,IF(J5=4,Diccionario!$O$5,Diccionario!$O$6))</f>
        <v>0.66499985814979368</v>
      </c>
      <c r="N5" s="19">
        <v>0.4</v>
      </c>
      <c r="O5" s="3">
        <f>+G5*L5*M5*N5*(1+'[2]Pesos escenarios'!$F$8/2)</f>
        <v>4025.9131588566174</v>
      </c>
      <c r="P5" t="s">
        <v>94</v>
      </c>
      <c r="Q5" t="str">
        <f t="shared" si="2"/>
        <v>Saldo no utilizado TC</v>
      </c>
    </row>
    <row r="6" spans="1:23" x14ac:dyDescent="0.35">
      <c r="A6">
        <v>83020</v>
      </c>
      <c r="B6" s="98" t="s">
        <v>109</v>
      </c>
      <c r="C6" s="113">
        <f>VLOOKUP($A6,[3]Hoja1!$C$5:$BZ$72,3,FALSE)</f>
        <v>9000000</v>
      </c>
      <c r="D6" s="113">
        <f>VLOOKUP($A6,[3]Hoja1!$C$5:$BZ$72,50,FALSE)</f>
        <v>1236232.43</v>
      </c>
      <c r="E6" s="113">
        <f>VLOOKUP($A6,[3]Hoja1!$C$5:$BZ$72,51,FALSE)*$W$1</f>
        <v>0</v>
      </c>
      <c r="F6" s="2">
        <f t="shared" si="0"/>
        <v>7763767.5700000003</v>
      </c>
      <c r="G6" s="114">
        <f t="shared" si="5"/>
        <v>7763767.5700000003</v>
      </c>
      <c r="H6" s="4"/>
      <c r="I6" s="4" t="str">
        <f t="shared" si="1"/>
        <v>Sit.Normal</v>
      </c>
      <c r="J6" s="3">
        <f t="shared" si="3"/>
        <v>1</v>
      </c>
      <c r="K6" s="3">
        <f t="shared" si="4"/>
        <v>1</v>
      </c>
      <c r="L6" s="4">
        <f>+IF(J6=1,Diccionario!$M$2,IF(J6=2,Diccionario!$M$3,1))</f>
        <v>1.4999999999999999E-2</v>
      </c>
      <c r="M6" s="4">
        <f>IF(J6&lt;=3,Diccionario!$O$2,IF(J6=4,Diccionario!$O$5,Diccionario!$O$6))</f>
        <v>0.66499985814979368</v>
      </c>
      <c r="N6" s="19">
        <v>0.4</v>
      </c>
      <c r="O6" s="3">
        <f>+G6*L6*M6*N6*(1+'[2]Pesos escenarios'!$F$8/2)</f>
        <v>41287.355083290924</v>
      </c>
      <c r="P6" t="s">
        <v>94</v>
      </c>
      <c r="Q6" t="str">
        <f t="shared" si="2"/>
        <v>Saldo no utilizado TC</v>
      </c>
    </row>
    <row r="7" spans="1:23" x14ac:dyDescent="0.35">
      <c r="A7">
        <v>84164</v>
      </c>
      <c r="B7" s="98" t="s">
        <v>109</v>
      </c>
      <c r="C7" s="113">
        <f>VLOOKUP($A7,[3]Hoja1!$C$5:$BZ$72,3,FALSE)</f>
        <v>3000000</v>
      </c>
      <c r="D7" s="113">
        <f>VLOOKUP($A7,[3]Hoja1!$C$5:$BZ$72,50,FALSE)</f>
        <v>85134.34</v>
      </c>
      <c r="E7" s="113">
        <f>VLOOKUP($A7,[3]Hoja1!$C$5:$BZ$72,51,FALSE)*$W$1</f>
        <v>0</v>
      </c>
      <c r="F7" s="2">
        <f t="shared" si="0"/>
        <v>2914865.66</v>
      </c>
      <c r="G7" s="114">
        <f t="shared" si="5"/>
        <v>2914865.66</v>
      </c>
      <c r="H7" s="4"/>
      <c r="I7" s="4" t="str">
        <f t="shared" si="1"/>
        <v>Sit.Normal</v>
      </c>
      <c r="J7" s="3">
        <f t="shared" si="3"/>
        <v>1</v>
      </c>
      <c r="K7" s="3">
        <f t="shared" si="4"/>
        <v>1</v>
      </c>
      <c r="L7" s="4">
        <f>+IF(J7=1,Diccionario!$M$2,IF(J7=2,Diccionario!$M$3,1))</f>
        <v>1.4999999999999999E-2</v>
      </c>
      <c r="M7" s="4">
        <f>IF(J7&lt;=3,Diccionario!$O$2,IF(J7=4,Diccionario!$O$5,Diccionario!$O$6))</f>
        <v>0.66499985814979368</v>
      </c>
      <c r="N7" s="19">
        <v>0.4</v>
      </c>
      <c r="O7" s="3">
        <f>+G7*L7*M7*N7*(1+'[2]Pesos escenarios'!$F$8/2)</f>
        <v>15501.120099157113</v>
      </c>
      <c r="P7" t="s">
        <v>94</v>
      </c>
      <c r="Q7" t="str">
        <f t="shared" si="2"/>
        <v>Saldo no utilizado TC</v>
      </c>
    </row>
    <row r="8" spans="1:23" x14ac:dyDescent="0.35">
      <c r="A8">
        <v>84446</v>
      </c>
      <c r="B8" s="98" t="s">
        <v>109</v>
      </c>
      <c r="C8" s="113">
        <f>VLOOKUP($A8,[3]Hoja1!$C$5:$BZ$72,3,FALSE)</f>
        <v>5000000</v>
      </c>
      <c r="D8" s="113">
        <f>VLOOKUP($A8,[3]Hoja1!$C$5:$BZ$72,50,FALSE)</f>
        <v>969929.48</v>
      </c>
      <c r="E8" s="113">
        <f>VLOOKUP($A8,[3]Hoja1!$C$5:$BZ$72,51,FALSE)*$W$1</f>
        <v>0</v>
      </c>
      <c r="F8" s="2">
        <f t="shared" si="0"/>
        <v>4030070.52</v>
      </c>
      <c r="G8" s="114">
        <f t="shared" si="5"/>
        <v>4030070.52</v>
      </c>
      <c r="H8" s="4"/>
      <c r="I8" s="4" t="str">
        <f t="shared" si="1"/>
        <v>Sit.Normal</v>
      </c>
      <c r="J8" s="3">
        <f t="shared" si="3"/>
        <v>1</v>
      </c>
      <c r="K8" s="3">
        <f t="shared" si="4"/>
        <v>1</v>
      </c>
      <c r="L8" s="4">
        <f>+IF(J8=1,Diccionario!$M$2,IF(J8=2,Diccionario!$M$3,1))</f>
        <v>1.4999999999999999E-2</v>
      </c>
      <c r="M8" s="4">
        <f>IF(J8&lt;=3,Diccionario!$O$2,IF(J8=4,Diccionario!$O$5,Diccionario!$O$6))</f>
        <v>0.66499985814979368</v>
      </c>
      <c r="N8" s="19">
        <v>0.4</v>
      </c>
      <c r="O8" s="3">
        <f>+G8*L8*M8*N8*(1+'[2]Pesos escenarios'!$F$8/2)</f>
        <v>21431.727710769541</v>
      </c>
      <c r="P8" t="s">
        <v>94</v>
      </c>
      <c r="Q8" t="str">
        <f t="shared" si="2"/>
        <v>Saldo no utilizado TC</v>
      </c>
    </row>
    <row r="9" spans="1:23" x14ac:dyDescent="0.35">
      <c r="A9">
        <v>85001</v>
      </c>
      <c r="B9" s="98" t="s">
        <v>109</v>
      </c>
      <c r="C9" s="113">
        <f>VLOOKUP($A9,[3]Hoja1!$C$5:$BZ$72,3,FALSE)</f>
        <v>38000</v>
      </c>
      <c r="D9" s="113">
        <f>VLOOKUP($A9,[3]Hoja1!$C$5:$BZ$72,50,FALSE)</f>
        <v>134.31</v>
      </c>
      <c r="E9" s="113">
        <f>VLOOKUP($A9,[3]Hoja1!$C$5:$BZ$72,51,FALSE)*$W$1</f>
        <v>0</v>
      </c>
      <c r="F9" s="2">
        <f t="shared" si="0"/>
        <v>37865.69</v>
      </c>
      <c r="G9" s="114">
        <f t="shared" si="5"/>
        <v>37865.69</v>
      </c>
      <c r="H9" s="4"/>
      <c r="I9" s="4" t="str">
        <f t="shared" si="1"/>
        <v>Sit.Normal</v>
      </c>
      <c r="J9" s="3">
        <f t="shared" si="3"/>
        <v>1</v>
      </c>
      <c r="K9" s="3">
        <f t="shared" si="4"/>
        <v>1</v>
      </c>
      <c r="L9" s="4">
        <f>+IF(J9=1,Diccionario!$M$2,IF(J9=2,Diccionario!$M$3,1))</f>
        <v>1.4999999999999999E-2</v>
      </c>
      <c r="M9" s="4">
        <f>IF(J9&lt;=3,Diccionario!$O$2,IF(J9=4,Diccionario!$O$5,Diccionario!$O$6))</f>
        <v>0.66499985814979368</v>
      </c>
      <c r="N9" s="19">
        <v>0.4</v>
      </c>
      <c r="O9" s="3">
        <f>+G9*L9*M9*N9*(1+'[2]Pesos escenarios'!$F$8/2)</f>
        <v>201.36797945173652</v>
      </c>
      <c r="P9" t="s">
        <v>94</v>
      </c>
      <c r="Q9" t="str">
        <f t="shared" si="2"/>
        <v>Saldo no utilizado TC</v>
      </c>
    </row>
    <row r="10" spans="1:23" x14ac:dyDescent="0.35">
      <c r="A10">
        <v>85391</v>
      </c>
      <c r="B10" s="98" t="s">
        <v>109</v>
      </c>
      <c r="C10" s="113">
        <f>VLOOKUP($A10,[3]Hoja1!$C$5:$BZ$72,3,FALSE)</f>
        <v>2400000</v>
      </c>
      <c r="D10" s="113">
        <f>VLOOKUP($A10,[3]Hoja1!$C$5:$BZ$72,50,FALSE)</f>
        <v>1277996.3700000001</v>
      </c>
      <c r="E10" s="113">
        <f>VLOOKUP($A10,[3]Hoja1!$C$5:$BZ$72,51,FALSE)*$W$1</f>
        <v>0</v>
      </c>
      <c r="F10" s="2">
        <f t="shared" si="0"/>
        <v>1122003.6299999999</v>
      </c>
      <c r="G10" s="114">
        <f t="shared" si="5"/>
        <v>1122003.6299999999</v>
      </c>
      <c r="H10" s="4"/>
      <c r="I10" s="4" t="str">
        <f t="shared" si="1"/>
        <v>Sit.Normal</v>
      </c>
      <c r="J10" s="3">
        <f t="shared" si="3"/>
        <v>1</v>
      </c>
      <c r="K10" s="3">
        <f t="shared" si="4"/>
        <v>1</v>
      </c>
      <c r="L10" s="4">
        <f>+IF(J10=1,Diccionario!$M$2,IF(J10=2,Diccionario!$M$3,1))</f>
        <v>1.4999999999999999E-2</v>
      </c>
      <c r="M10" s="4">
        <f>IF(J10&lt;=3,Diccionario!$O$2,IF(J10=4,Diccionario!$O$5,Diccionario!$O$6))</f>
        <v>0.66499985814979368</v>
      </c>
      <c r="N10" s="19">
        <v>0.4</v>
      </c>
      <c r="O10" s="3">
        <f>+G10*L10*M10*N10*(1+'[2]Pesos escenarios'!$F$8/2)</f>
        <v>5966.7631544708083</v>
      </c>
      <c r="P10" t="s">
        <v>94</v>
      </c>
      <c r="Q10" t="str">
        <f t="shared" si="2"/>
        <v>Saldo no utilizado TC</v>
      </c>
    </row>
    <row r="11" spans="1:23" x14ac:dyDescent="0.35">
      <c r="A11">
        <v>53660</v>
      </c>
      <c r="B11" s="98" t="s">
        <v>109</v>
      </c>
      <c r="C11" s="113">
        <f>VLOOKUP($A11,[3]Hoja1!$C$5:$BZ$72,3,FALSE)</f>
        <v>1200000</v>
      </c>
      <c r="D11" s="113">
        <f>VLOOKUP($A11,[3]Hoja1!$C$5:$BZ$72,50,FALSE)</f>
        <v>912477.01</v>
      </c>
      <c r="E11" s="113">
        <f>VLOOKUP($A11,[3]Hoja1!$C$5:$BZ$72,51,FALSE)*$W$1</f>
        <v>0</v>
      </c>
      <c r="F11" s="2">
        <f t="shared" si="0"/>
        <v>287522.99</v>
      </c>
      <c r="G11" s="114">
        <f t="shared" si="5"/>
        <v>287522.99</v>
      </c>
      <c r="H11" s="4"/>
      <c r="I11" s="4" t="str">
        <f t="shared" si="1"/>
        <v>Sit.Normal</v>
      </c>
      <c r="J11" s="3">
        <f t="shared" si="3"/>
        <v>1</v>
      </c>
      <c r="K11" s="3">
        <f t="shared" si="4"/>
        <v>1</v>
      </c>
      <c r="L11" s="4">
        <f>+IF(J11=1,Diccionario!$M$2,IF(J11=2,Diccionario!$M$3,1))</f>
        <v>1.4999999999999999E-2</v>
      </c>
      <c r="M11" s="4">
        <f>IF(J11&lt;=3,Diccionario!$O$2,IF(J11=4,Diccionario!$O$5,Diccionario!$O$6))</f>
        <v>0.66499985814979368</v>
      </c>
      <c r="N11" s="19">
        <v>0.4</v>
      </c>
      <c r="O11" s="3">
        <f>+G11*L11*M11*N11*(1+'[2]Pesos escenarios'!$F$8/2)</f>
        <v>1529.0338969716868</v>
      </c>
      <c r="P11" t="s">
        <v>94</v>
      </c>
      <c r="Q11" t="str">
        <f t="shared" si="2"/>
        <v>Saldo no utilizado TC</v>
      </c>
    </row>
    <row r="12" spans="1:23" x14ac:dyDescent="0.35">
      <c r="A12">
        <v>54512</v>
      </c>
      <c r="B12" s="98" t="s">
        <v>109</v>
      </c>
      <c r="C12" s="113">
        <f>VLOOKUP($A12,[3]Hoja1!$C$5:$BZ$72,3,FALSE)</f>
        <v>2000000</v>
      </c>
      <c r="D12" s="113">
        <f>VLOOKUP($A12,[3]Hoja1!$C$5:$BZ$72,50,FALSE)</f>
        <v>134.31</v>
      </c>
      <c r="E12" s="113">
        <f>VLOOKUP($A12,[3]Hoja1!$C$5:$BZ$72,51,FALSE)*$W$1</f>
        <v>0</v>
      </c>
      <c r="F12" s="2">
        <f t="shared" si="0"/>
        <v>1999865.69</v>
      </c>
      <c r="G12" s="114">
        <f t="shared" si="5"/>
        <v>1999865.69</v>
      </c>
      <c r="H12" s="4"/>
      <c r="I12" s="4" t="str">
        <f t="shared" si="1"/>
        <v>Sit.Normal</v>
      </c>
      <c r="J12" s="3">
        <f t="shared" si="3"/>
        <v>1</v>
      </c>
      <c r="K12" s="3">
        <f t="shared" si="4"/>
        <v>1</v>
      </c>
      <c r="L12" s="4">
        <f>+IF(J12=1,Diccionario!$M$2,IF(J12=2,Diccionario!$M$3,1))</f>
        <v>1.4999999999999999E-2</v>
      </c>
      <c r="M12" s="4">
        <f>IF(J12&lt;=3,Diccionario!$O$2,IF(J12=4,Diccionario!$O$5,Diccionario!$O$6))</f>
        <v>0.66499985814979368</v>
      </c>
      <c r="N12" s="19">
        <v>0.4</v>
      </c>
      <c r="O12" s="3">
        <f>+G12*L12*M12*N12*(1+'[2]Pesos escenarios'!$F$8/2)</f>
        <v>10635.192787194763</v>
      </c>
      <c r="P12" t="s">
        <v>94</v>
      </c>
      <c r="Q12" t="str">
        <f t="shared" si="2"/>
        <v>Saldo no utilizado TC</v>
      </c>
    </row>
    <row r="13" spans="1:23" x14ac:dyDescent="0.35">
      <c r="A13">
        <v>85773</v>
      </c>
      <c r="B13" s="98" t="s">
        <v>109</v>
      </c>
      <c r="C13" s="113">
        <f>VLOOKUP($A13,[3]Hoja1!$C$5:$BZ$72,3,FALSE)</f>
        <v>3000000</v>
      </c>
      <c r="D13" s="113">
        <f>VLOOKUP($A13,[3]Hoja1!$C$5:$BZ$72,50,FALSE)</f>
        <v>268345.43</v>
      </c>
      <c r="E13" s="113">
        <f>VLOOKUP($A13,[3]Hoja1!$C$5:$BZ$72,51,FALSE)*$W$1</f>
        <v>0</v>
      </c>
      <c r="F13" s="2">
        <f t="shared" si="0"/>
        <v>2731654.57</v>
      </c>
      <c r="G13" s="114">
        <f t="shared" si="5"/>
        <v>2731654.57</v>
      </c>
      <c r="H13" s="4"/>
      <c r="I13" s="4" t="str">
        <f t="shared" si="1"/>
        <v>Sit.Normal</v>
      </c>
      <c r="J13" s="3">
        <f t="shared" si="3"/>
        <v>1</v>
      </c>
      <c r="K13" s="3">
        <f t="shared" si="4"/>
        <v>1</v>
      </c>
      <c r="L13" s="4">
        <f>+IF(J13=1,Diccionario!$M$2,IF(J13=2,Diccionario!$M$3,1))</f>
        <v>1.4999999999999999E-2</v>
      </c>
      <c r="M13" s="4">
        <f>IF(J13&lt;=3,Diccionario!$O$2,IF(J13=4,Diccionario!$O$5,Diccionario!$O$6))</f>
        <v>0.66499985814979368</v>
      </c>
      <c r="N13" s="19">
        <v>0.4</v>
      </c>
      <c r="O13" s="3">
        <f>+G13*L13*M13*N13*(1+'[2]Pesos escenarios'!$F$8/2)</f>
        <v>14526.812038048221</v>
      </c>
      <c r="P13" t="s">
        <v>94</v>
      </c>
      <c r="Q13" t="str">
        <f t="shared" si="2"/>
        <v>Saldo no utilizado TC</v>
      </c>
    </row>
    <row r="14" spans="1:23" x14ac:dyDescent="0.35">
      <c r="A14">
        <v>86330</v>
      </c>
      <c r="B14" s="98" t="s">
        <v>109</v>
      </c>
      <c r="C14" s="113">
        <f>VLOOKUP($A14,[3]Hoja1!$C$5:$BZ$72,3,FALSE)</f>
        <v>7500000</v>
      </c>
      <c r="D14" s="113">
        <f>VLOOKUP($A14,[3]Hoja1!$C$5:$BZ$72,50,FALSE)</f>
        <v>1239719.3</v>
      </c>
      <c r="E14" s="113">
        <f>VLOOKUP($A14,[3]Hoja1!$C$5:$BZ$72,51,FALSE)*$W$1</f>
        <v>8974.0981220000012</v>
      </c>
      <c r="F14" s="2">
        <f t="shared" si="0"/>
        <v>6251306.6018780004</v>
      </c>
      <c r="G14" s="114">
        <f t="shared" si="5"/>
        <v>6251306.6018780004</v>
      </c>
      <c r="H14" s="4"/>
      <c r="I14" s="4" t="str">
        <f t="shared" si="1"/>
        <v>Sit.Normal</v>
      </c>
      <c r="J14" s="3">
        <f t="shared" si="3"/>
        <v>1</v>
      </c>
      <c r="K14" s="3">
        <f t="shared" si="4"/>
        <v>1</v>
      </c>
      <c r="L14" s="4">
        <f>+IF(J14=1,Diccionario!$M$2,IF(J14=2,Diccionario!$M$3,1))</f>
        <v>1.4999999999999999E-2</v>
      </c>
      <c r="M14" s="4">
        <f>IF(J14&lt;=3,Diccionario!$O$2,IF(J14=4,Diccionario!$O$5,Diccionario!$O$6))</f>
        <v>0.66499985814979368</v>
      </c>
      <c r="N14" s="19">
        <v>0.4</v>
      </c>
      <c r="O14" s="3">
        <f>+G14*L14*M14*N14*(1+'[2]Pesos escenarios'!$F$8/2)</f>
        <v>33244.157952845286</v>
      </c>
      <c r="P14" t="s">
        <v>94</v>
      </c>
      <c r="Q14" t="str">
        <f t="shared" si="2"/>
        <v>Saldo no utilizado TC</v>
      </c>
    </row>
    <row r="15" spans="1:23" x14ac:dyDescent="0.35">
      <c r="A15">
        <v>86329</v>
      </c>
      <c r="B15" s="98" t="s">
        <v>109</v>
      </c>
      <c r="C15" s="113">
        <f>VLOOKUP($A15,[3]Hoja1!$C$5:$BZ$72,3,FALSE)</f>
        <v>6000000</v>
      </c>
      <c r="D15" s="113">
        <f>VLOOKUP($A15,[3]Hoja1!$C$5:$BZ$72,50,FALSE)</f>
        <v>543308.76</v>
      </c>
      <c r="E15" s="113">
        <f>VLOOKUP($A15,[3]Hoja1!$C$5:$BZ$72,51,FALSE)*$W$1</f>
        <v>0</v>
      </c>
      <c r="F15" s="2">
        <f t="shared" si="0"/>
        <v>5456691.2400000002</v>
      </c>
      <c r="G15" s="114">
        <f t="shared" si="5"/>
        <v>5456691.2400000002</v>
      </c>
      <c r="H15" s="4"/>
      <c r="I15" s="4" t="str">
        <f t="shared" si="1"/>
        <v>Sit.Normal</v>
      </c>
      <c r="J15" s="3">
        <f t="shared" si="3"/>
        <v>1</v>
      </c>
      <c r="K15" s="3">
        <f t="shared" si="4"/>
        <v>1</v>
      </c>
      <c r="L15" s="4">
        <f>+IF(J15=1,Diccionario!$M$2,IF(J15=2,Diccionario!$M$3,1))</f>
        <v>1.4999999999999999E-2</v>
      </c>
      <c r="M15" s="4">
        <f>IF(J15&lt;=3,Diccionario!$O$2,IF(J15=4,Diccionario!$O$5,Diccionario!$O$6))</f>
        <v>0.66499985814979368</v>
      </c>
      <c r="N15" s="19">
        <v>0.4</v>
      </c>
      <c r="O15" s="3">
        <f>+G15*L15*M15*N15*(1+'[2]Pesos escenarios'!$F$8/2)</f>
        <v>29018.430391491365</v>
      </c>
      <c r="P15" t="s">
        <v>94</v>
      </c>
      <c r="Q15" t="str">
        <f t="shared" si="2"/>
        <v>Saldo no utilizado TC</v>
      </c>
    </row>
    <row r="16" spans="1:23" x14ac:dyDescent="0.35">
      <c r="A16">
        <v>59053</v>
      </c>
      <c r="B16" s="98" t="s">
        <v>109</v>
      </c>
      <c r="C16" s="113">
        <f>VLOOKUP($A16,[3]Hoja1!$C$5:$BZ$72,3,FALSE)</f>
        <v>2000000</v>
      </c>
      <c r="D16" s="113">
        <f>VLOOKUP($A16,[3]Hoja1!$C$5:$BZ$72,50,FALSE)</f>
        <v>339373.2</v>
      </c>
      <c r="E16" s="113">
        <f>VLOOKUP($A16,[3]Hoja1!$C$5:$BZ$72,51,FALSE)*$W$1</f>
        <v>9112.3739020000012</v>
      </c>
      <c r="F16" s="2">
        <f t="shared" si="0"/>
        <v>1651514.426098</v>
      </c>
      <c r="G16" s="114">
        <f t="shared" si="5"/>
        <v>1651514.426098</v>
      </c>
      <c r="H16" s="4"/>
      <c r="I16" s="4" t="str">
        <f t="shared" si="1"/>
        <v>Sit.Normal</v>
      </c>
      <c r="J16" s="3">
        <f t="shared" si="3"/>
        <v>1</v>
      </c>
      <c r="K16" s="3">
        <f t="shared" si="4"/>
        <v>1</v>
      </c>
      <c r="L16" s="4">
        <f>+IF(J16=1,Diccionario!$M$2,IF(J16=2,Diccionario!$M$3,1))</f>
        <v>1.4999999999999999E-2</v>
      </c>
      <c r="M16" s="4">
        <f>IF(J16&lt;=3,Diccionario!$O$2,IF(J16=4,Diccionario!$O$5,Diccionario!$O$6))</f>
        <v>0.66499985814979368</v>
      </c>
      <c r="N16" s="19">
        <v>0.4</v>
      </c>
      <c r="O16" s="3">
        <f>+G16*L16*M16*N16*(1+'[2]Pesos escenarios'!$F$8/2)</f>
        <v>8782.6769568638138</v>
      </c>
      <c r="P16" t="s">
        <v>94</v>
      </c>
      <c r="Q16" t="str">
        <f t="shared" si="2"/>
        <v>Saldo no utilizado TC</v>
      </c>
    </row>
    <row r="17" spans="1:17" x14ac:dyDescent="0.35">
      <c r="A17">
        <v>87039</v>
      </c>
      <c r="B17" s="98" t="s">
        <v>109</v>
      </c>
      <c r="C17" s="113">
        <f>VLOOKUP($A17,[3]Hoja1!$C$5:$BZ$72,3,FALSE)</f>
        <v>1600000</v>
      </c>
      <c r="D17" s="113">
        <f>VLOOKUP($A17,[3]Hoja1!$C$5:$BZ$72,50,FALSE)</f>
        <v>134.31</v>
      </c>
      <c r="E17" s="113">
        <f>VLOOKUP($A17,[3]Hoja1!$C$5:$BZ$72,51,FALSE)*$W$1</f>
        <v>0</v>
      </c>
      <c r="F17" s="2">
        <f t="shared" si="0"/>
        <v>1599865.69</v>
      </c>
      <c r="G17" s="114">
        <f t="shared" si="5"/>
        <v>1599865.69</v>
      </c>
      <c r="H17" s="4"/>
      <c r="I17" s="4" t="str">
        <f t="shared" si="1"/>
        <v>Sit.Normal</v>
      </c>
      <c r="J17" s="3">
        <f t="shared" si="3"/>
        <v>1</v>
      </c>
      <c r="K17" s="3">
        <f t="shared" si="4"/>
        <v>1</v>
      </c>
      <c r="L17" s="4">
        <f>+IF(J17=1,Diccionario!$M$2,IF(J17=2,Diccionario!$M$3,1))</f>
        <v>1.4999999999999999E-2</v>
      </c>
      <c r="M17" s="4">
        <f>IF(J17&lt;=3,Diccionario!$O$2,IF(J17=4,Diccionario!$O$5,Diccionario!$O$6))</f>
        <v>0.66499985814979368</v>
      </c>
      <c r="N17" s="19">
        <v>0.4</v>
      </c>
      <c r="O17" s="3">
        <f>+G17*L17*M17*N17*(1+'[2]Pesos escenarios'!$F$8/2)</f>
        <v>8508.0113788883355</v>
      </c>
      <c r="P17" t="s">
        <v>94</v>
      </c>
      <c r="Q17" t="str">
        <f t="shared" si="2"/>
        <v>Saldo no utilizado TC</v>
      </c>
    </row>
    <row r="18" spans="1:17" x14ac:dyDescent="0.35">
      <c r="A18">
        <v>86107</v>
      </c>
      <c r="B18" s="98" t="s">
        <v>109</v>
      </c>
      <c r="C18" s="113">
        <f>VLOOKUP($A18,[3]Hoja1!$C$5:$BZ$72,3,FALSE)</f>
        <v>1800000</v>
      </c>
      <c r="D18" s="113">
        <f>VLOOKUP($A18,[3]Hoja1!$C$5:$BZ$72,50,FALSE)</f>
        <v>834367.34</v>
      </c>
      <c r="E18" s="113">
        <f>VLOOKUP($A18,[3]Hoja1!$C$5:$BZ$72,51,FALSE)*$W$1</f>
        <v>0</v>
      </c>
      <c r="F18" s="2">
        <f t="shared" si="0"/>
        <v>965632.66</v>
      </c>
      <c r="G18" s="114">
        <f t="shared" si="5"/>
        <v>965632.66</v>
      </c>
      <c r="H18" s="4"/>
      <c r="I18" s="4" t="str">
        <f t="shared" si="1"/>
        <v>Sit.Normal</v>
      </c>
      <c r="J18" s="3">
        <f t="shared" si="3"/>
        <v>1</v>
      </c>
      <c r="K18" s="3">
        <f t="shared" si="4"/>
        <v>1</v>
      </c>
      <c r="L18" s="4">
        <f>+IF(J18=1,Diccionario!$M$2,IF(J18=2,Diccionario!$M$3,1))</f>
        <v>1.4999999999999999E-2</v>
      </c>
      <c r="M18" s="4">
        <f>IF(J18&lt;=3,Diccionario!$O$2,IF(J18=4,Diccionario!$O$5,Diccionario!$O$6))</f>
        <v>0.66499985814979368</v>
      </c>
      <c r="N18" s="19">
        <v>0.4</v>
      </c>
      <c r="O18" s="3">
        <f>+G18*L18*M18*N18*(1+'[2]Pesos escenarios'!$F$8/2)</f>
        <v>5135.1896040137044</v>
      </c>
      <c r="P18" t="s">
        <v>94</v>
      </c>
      <c r="Q18" t="str">
        <f t="shared" si="2"/>
        <v>Saldo no utilizado TC</v>
      </c>
    </row>
    <row r="19" spans="1:17" x14ac:dyDescent="0.35">
      <c r="A19">
        <v>86637</v>
      </c>
      <c r="B19" s="98" t="s">
        <v>123</v>
      </c>
      <c r="C19" s="113">
        <f>VLOOKUP($A19,[3]Hoja1!$C$5:$BZ$72,3,FALSE)</f>
        <v>1000000</v>
      </c>
      <c r="D19" s="113">
        <f>VLOOKUP($A19,[3]Hoja1!$C$5:$BZ$72,50,FALSE)</f>
        <v>1196234.56</v>
      </c>
      <c r="E19" s="113">
        <f>VLOOKUP($A19,[3]Hoja1!$C$5:$BZ$72,51,FALSE)*$W$1</f>
        <v>0</v>
      </c>
      <c r="F19" s="2">
        <f t="shared" si="0"/>
        <v>-196234.56000000006</v>
      </c>
      <c r="G19" s="114">
        <f>IF(F19&gt;C19,C19,IF(F19&gt;0,F19,0))</f>
        <v>0</v>
      </c>
      <c r="H19" s="4"/>
      <c r="I19" s="4" t="str">
        <f t="shared" si="1"/>
        <v>Alto Riesgo</v>
      </c>
      <c r="J19" s="3">
        <f>IF(I19="Sit.Normal","1",IF(I19="Riesgo Potencia","2",IF(I19="Con problemas","3",IF(I19="Alto Riesgo","4",IF(I19="Irrecuperable","5",IF(I19="Irrec Disp Tecn","6",0))))))*1</f>
        <v>4</v>
      </c>
      <c r="K19" s="3">
        <f t="shared" si="4"/>
        <v>3</v>
      </c>
      <c r="L19" s="4">
        <f>+IF(J19=1,Diccionario!$M$2,IF(J19=2,Diccionario!$M$3,1))</f>
        <v>1</v>
      </c>
      <c r="M19" s="4">
        <f>IF(J19&lt;=3,Diccionario!$O$2,IF(J19=4,Diccionario!$O$5,Diccionario!$O$6))</f>
        <v>0.92250106026350687</v>
      </c>
      <c r="N19" s="19">
        <v>0.4</v>
      </c>
      <c r="O19" s="3">
        <f>+G19*L19*M19*N19*(1+'[2]Pesos escenarios'!$F$8/2)</f>
        <v>0</v>
      </c>
      <c r="P19" t="s">
        <v>94</v>
      </c>
      <c r="Q19" t="str">
        <f t="shared" si="2"/>
        <v>Saldo no utilizado TC</v>
      </c>
    </row>
    <row r="20" spans="1:17" x14ac:dyDescent="0.35">
      <c r="A20">
        <v>83452</v>
      </c>
      <c r="B20" s="98" t="s">
        <v>109</v>
      </c>
      <c r="C20" s="113">
        <f>VLOOKUP($A20,[3]Hoja1!$C$5:$BZ$72,3,FALSE)</f>
        <v>4000000</v>
      </c>
      <c r="D20" s="113">
        <f>VLOOKUP($A20,[3]Hoja1!$C$5:$BZ$72,50,FALSE)</f>
        <v>729857.09</v>
      </c>
      <c r="E20" s="113">
        <f>VLOOKUP($A20,[3]Hoja1!$C$5:$BZ$72,51,FALSE)*$W$1</f>
        <v>0</v>
      </c>
      <c r="F20" s="2">
        <f t="shared" si="0"/>
        <v>3270142.91</v>
      </c>
      <c r="G20" s="114">
        <f t="shared" si="5"/>
        <v>3270142.91</v>
      </c>
      <c r="H20" s="4"/>
      <c r="I20" s="4" t="str">
        <f t="shared" si="1"/>
        <v>Sit.Normal</v>
      </c>
      <c r="J20" s="3">
        <f t="shared" si="3"/>
        <v>1</v>
      </c>
      <c r="K20" s="3">
        <f t="shared" si="4"/>
        <v>1</v>
      </c>
      <c r="L20" s="4">
        <f>+IF(J20=1,Diccionario!$M$2,IF(J20=2,Diccionario!$M$3,1))</f>
        <v>1.4999999999999999E-2</v>
      </c>
      <c r="M20" s="4">
        <f>IF(J20&lt;=3,Diccionario!$O$2,IF(J20=4,Diccionario!$O$5,Diccionario!$O$6))</f>
        <v>0.66499985814979368</v>
      </c>
      <c r="N20" s="19">
        <v>0.4</v>
      </c>
      <c r="O20" s="3">
        <f>+G20*L20*M20*N20*(1+'[2]Pesos escenarios'!$F$8/2)</f>
        <v>17390.468001642697</v>
      </c>
      <c r="P20" t="s">
        <v>94</v>
      </c>
      <c r="Q20" t="str">
        <f t="shared" si="2"/>
        <v>Saldo no utilizado TC</v>
      </c>
    </row>
    <row r="21" spans="1:17" x14ac:dyDescent="0.35">
      <c r="A21">
        <v>87020</v>
      </c>
      <c r="B21" s="98" t="s">
        <v>109</v>
      </c>
      <c r="C21" s="113">
        <f>VLOOKUP($A21,[3]Hoja1!$C$5:$BZ$72,3,FALSE)</f>
        <v>6000000</v>
      </c>
      <c r="D21" s="113">
        <f>VLOOKUP($A21,[3]Hoja1!$C$5:$BZ$72,50,FALSE)</f>
        <v>35817.269999999997</v>
      </c>
      <c r="E21" s="113">
        <f>VLOOKUP($A21,[3]Hoja1!$C$5:$BZ$72,51,FALSE)*$W$1</f>
        <v>115958.06910800001</v>
      </c>
      <c r="F21" s="2">
        <f t="shared" si="0"/>
        <v>5848224.6608920004</v>
      </c>
      <c r="G21" s="114">
        <f t="shared" si="5"/>
        <v>5848224.6608920004</v>
      </c>
      <c r="H21" s="4"/>
      <c r="I21" s="4" t="str">
        <f t="shared" si="1"/>
        <v>Sit.Normal</v>
      </c>
      <c r="J21" s="3">
        <f t="shared" si="3"/>
        <v>1</v>
      </c>
      <c r="K21" s="3">
        <f t="shared" si="4"/>
        <v>1</v>
      </c>
      <c r="L21" s="4">
        <f>+IF(J21=1,Diccionario!$M$2,IF(J21=2,Diccionario!$M$3,1))</f>
        <v>1.4999999999999999E-2</v>
      </c>
      <c r="M21" s="4">
        <f>IF(J21&lt;=3,Diccionario!$O$2,IF(J21=4,Diccionario!$O$5,Diccionario!$O$6))</f>
        <v>0.66499985814979368</v>
      </c>
      <c r="N21" s="19">
        <v>0.4</v>
      </c>
      <c r="O21" s="3">
        <f>+G21*L21*M21*N21*(1+'[2]Pesos escenarios'!$F$8/2)</f>
        <v>31100.586925621559</v>
      </c>
      <c r="P21" t="s">
        <v>94</v>
      </c>
      <c r="Q21" t="str">
        <f t="shared" si="2"/>
        <v>Saldo no utilizado TC</v>
      </c>
    </row>
    <row r="22" spans="1:17" x14ac:dyDescent="0.35">
      <c r="A22">
        <v>55127</v>
      </c>
      <c r="B22" s="98" t="s">
        <v>109</v>
      </c>
      <c r="C22" s="113">
        <f>VLOOKUP($A22,[3]Hoja1!$C$5:$BZ$72,3,FALSE)</f>
        <v>4800</v>
      </c>
      <c r="D22" s="113">
        <f>VLOOKUP($A22,[3]Hoja1!$C$5:$BZ$72,50,FALSE)</f>
        <v>134.31</v>
      </c>
      <c r="E22" s="113">
        <f>VLOOKUP($A22,[3]Hoja1!$C$5:$BZ$72,51,FALSE)*$W$1</f>
        <v>0</v>
      </c>
      <c r="F22" s="2">
        <f t="shared" si="0"/>
        <v>4665.6899999999996</v>
      </c>
      <c r="G22" s="114">
        <f t="shared" si="5"/>
        <v>4665.6899999999996</v>
      </c>
      <c r="H22" s="4"/>
      <c r="I22" s="4" t="str">
        <f t="shared" si="1"/>
        <v>Sit.Normal</v>
      </c>
      <c r="J22" s="3">
        <f t="shared" si="3"/>
        <v>1</v>
      </c>
      <c r="K22" s="3">
        <f t="shared" si="4"/>
        <v>1</v>
      </c>
      <c r="L22" s="4">
        <f>+IF(J22=1,Diccionario!$M$2,IF(J22=2,Diccionario!$M$3,1))</f>
        <v>1.4999999999999999E-2</v>
      </c>
      <c r="M22" s="4">
        <f>IF(J22&lt;=3,Diccionario!$O$2,IF(J22=4,Diccionario!$O$5,Diccionario!$O$6))</f>
        <v>0.66499985814979368</v>
      </c>
      <c r="N22" s="19">
        <v>0.4</v>
      </c>
      <c r="O22" s="3">
        <f>+G22*L22*M22*N22*(1+'[2]Pesos escenarios'!$F$8/2)</f>
        <v>24.811922562303042</v>
      </c>
      <c r="P22" t="s">
        <v>94</v>
      </c>
      <c r="Q22" t="str">
        <f t="shared" si="2"/>
        <v>Saldo no utilizado TC</v>
      </c>
    </row>
    <row r="23" spans="1:17" x14ac:dyDescent="0.35">
      <c r="A23">
        <v>83538</v>
      </c>
      <c r="B23" s="98" t="s">
        <v>109</v>
      </c>
      <c r="C23" s="113">
        <f>VLOOKUP($A23,[3]Hoja1!$C$5:$BZ$72,3,FALSE)</f>
        <v>1800000</v>
      </c>
      <c r="D23" s="113">
        <f>VLOOKUP($A23,[3]Hoja1!$C$5:$BZ$72,50,FALSE)</f>
        <v>137330.54</v>
      </c>
      <c r="E23" s="113">
        <f>VLOOKUP($A23,[3]Hoja1!$C$5:$BZ$72,51,FALSE)*$W$1</f>
        <v>0</v>
      </c>
      <c r="F23" s="2">
        <f t="shared" si="0"/>
        <v>1662669.46</v>
      </c>
      <c r="G23" s="114">
        <f t="shared" si="5"/>
        <v>1662669.46</v>
      </c>
      <c r="H23" s="4"/>
      <c r="I23" s="4" t="str">
        <f t="shared" si="1"/>
        <v>Sit.Normal</v>
      </c>
      <c r="J23" s="3">
        <f t="shared" si="3"/>
        <v>1</v>
      </c>
      <c r="K23" s="3">
        <f t="shared" si="4"/>
        <v>1</v>
      </c>
      <c r="L23" s="4">
        <f>+IF(J23=1,Diccionario!$M$2,IF(J23=2,Diccionario!$M$3,1))</f>
        <v>1.4999999999999999E-2</v>
      </c>
      <c r="M23" s="4">
        <f>IF(J23&lt;=3,Diccionario!$O$2,IF(J23=4,Diccionario!$O$5,Diccionario!$O$6))</f>
        <v>0.66499985814979368</v>
      </c>
      <c r="N23" s="19">
        <v>0.4</v>
      </c>
      <c r="O23" s="3">
        <f>+G23*L23*M23*N23*(1+'[2]Pesos escenarios'!$F$8/2)</f>
        <v>8841.9989086772184</v>
      </c>
      <c r="P23" t="s">
        <v>94</v>
      </c>
      <c r="Q23" t="str">
        <f t="shared" si="2"/>
        <v>Saldo no utilizado TC</v>
      </c>
    </row>
    <row r="24" spans="1:17" x14ac:dyDescent="0.35">
      <c r="A24">
        <v>60100</v>
      </c>
      <c r="B24" s="98" t="s">
        <v>109</v>
      </c>
      <c r="C24" s="113">
        <f>VLOOKUP($A24,[3]Hoja1!$C$5:$BZ$72,3,FALSE)</f>
        <v>200000</v>
      </c>
      <c r="D24" s="113">
        <f>VLOOKUP($A24,[3]Hoja1!$C$5:$BZ$72,50,FALSE)</f>
        <v>134.31</v>
      </c>
      <c r="E24" s="113">
        <f>VLOOKUP($A24,[3]Hoja1!$C$5:$BZ$72,51,FALSE)*$W$1</f>
        <v>0</v>
      </c>
      <c r="F24" s="2">
        <f t="shared" si="0"/>
        <v>199865.69</v>
      </c>
      <c r="G24" s="114">
        <f t="shared" si="5"/>
        <v>199865.69</v>
      </c>
      <c r="H24" s="4"/>
      <c r="I24" s="4" t="str">
        <f t="shared" si="1"/>
        <v>Sit.Normal</v>
      </c>
      <c r="J24" s="3">
        <f t="shared" si="3"/>
        <v>1</v>
      </c>
      <c r="K24" s="3">
        <f t="shared" si="4"/>
        <v>1</v>
      </c>
      <c r="L24" s="4">
        <f>+IF(J24=1,Diccionario!$M$2,IF(J24=2,Diccionario!$M$3,1))</f>
        <v>1.4999999999999999E-2</v>
      </c>
      <c r="M24" s="4">
        <f>IF(J24&lt;=3,Diccionario!$O$2,IF(J24=4,Diccionario!$O$5,Diccionario!$O$6))</f>
        <v>0.66499985814979368</v>
      </c>
      <c r="N24" s="19">
        <v>0.4</v>
      </c>
      <c r="O24" s="3">
        <f>+G24*L24*M24*N24*(1+'[2]Pesos escenarios'!$F$8/2)</f>
        <v>1062.8764498158396</v>
      </c>
      <c r="P24" t="s">
        <v>94</v>
      </c>
      <c r="Q24" t="str">
        <f t="shared" si="2"/>
        <v>Saldo no utilizado TC</v>
      </c>
    </row>
    <row r="25" spans="1:17" x14ac:dyDescent="0.35">
      <c r="A25">
        <v>59128</v>
      </c>
      <c r="B25" s="98" t="s">
        <v>109</v>
      </c>
      <c r="C25" s="113">
        <f>VLOOKUP($A25,[3]Hoja1!$C$5:$BZ$72,3,FALSE)</f>
        <v>5000000</v>
      </c>
      <c r="D25" s="113">
        <f>VLOOKUP($A25,[3]Hoja1!$C$5:$BZ$72,50,FALSE)</f>
        <v>886355.17</v>
      </c>
      <c r="E25" s="113">
        <f>VLOOKUP($A25,[3]Hoja1!$C$5:$BZ$72,51,FALSE)*$W$1</f>
        <v>184183.33895999999</v>
      </c>
      <c r="F25" s="2">
        <f t="shared" si="0"/>
        <v>3929461.4910400002</v>
      </c>
      <c r="G25" s="114">
        <f t="shared" si="5"/>
        <v>3929461.4910400002</v>
      </c>
      <c r="H25" s="4"/>
      <c r="I25" s="4" t="str">
        <f t="shared" si="1"/>
        <v>Sit.Normal</v>
      </c>
      <c r="J25" s="3">
        <f t="shared" si="3"/>
        <v>1</v>
      </c>
      <c r="K25" s="3">
        <f t="shared" si="4"/>
        <v>1</v>
      </c>
      <c r="L25" s="4">
        <f>+IF(J25=1,Diccionario!$M$2,IF(J25=2,Diccionario!$M$3,1))</f>
        <v>1.4999999999999999E-2</v>
      </c>
      <c r="M25" s="4">
        <f>IF(J25&lt;=3,Diccionario!$O$2,IF(J25=4,Diccionario!$O$5,Diccionario!$O$6))</f>
        <v>0.66499985814979368</v>
      </c>
      <c r="N25" s="19">
        <v>0.4</v>
      </c>
      <c r="O25" s="3">
        <f>+G25*L25*M25*N25*(1+'[2]Pesos escenarios'!$F$8/2)</f>
        <v>20896.693570990854</v>
      </c>
      <c r="P25" t="s">
        <v>94</v>
      </c>
      <c r="Q25" t="str">
        <f t="shared" si="2"/>
        <v>Saldo no utilizado TC</v>
      </c>
    </row>
    <row r="26" spans="1:17" x14ac:dyDescent="0.35">
      <c r="A26">
        <v>82141</v>
      </c>
      <c r="B26" s="98" t="s">
        <v>109</v>
      </c>
      <c r="C26" s="113">
        <f>VLOOKUP($A26,[3]Hoja1!$C$5:$BZ$72,3,FALSE)</f>
        <v>4000000</v>
      </c>
      <c r="D26" s="113">
        <f>VLOOKUP($A26,[3]Hoja1!$C$5:$BZ$72,50,FALSE)</f>
        <v>662546.48</v>
      </c>
      <c r="E26" s="113">
        <f>VLOOKUP($A26,[3]Hoja1!$C$5:$BZ$72,51,FALSE)*$W$1</f>
        <v>36961.115994</v>
      </c>
      <c r="F26" s="2">
        <f t="shared" si="0"/>
        <v>3300492.4040060001</v>
      </c>
      <c r="G26" s="114">
        <f t="shared" si="5"/>
        <v>3300492.4040060001</v>
      </c>
      <c r="H26" s="4"/>
      <c r="I26" s="4" t="str">
        <f t="shared" si="1"/>
        <v>Sit.Normal</v>
      </c>
      <c r="J26" s="3">
        <f t="shared" si="3"/>
        <v>1</v>
      </c>
      <c r="K26" s="3">
        <f t="shared" si="4"/>
        <v>1</v>
      </c>
      <c r="L26" s="4">
        <f>+IF(J26=1,Diccionario!$M$2,IF(J26=2,Diccionario!$M$3,1))</f>
        <v>1.4999999999999999E-2</v>
      </c>
      <c r="M26" s="4">
        <f>IF(J26&lt;=3,Diccionario!$O$2,IF(J26=4,Diccionario!$O$5,Diccionario!$O$6))</f>
        <v>0.66499985814979368</v>
      </c>
      <c r="N26" s="19">
        <v>0.4</v>
      </c>
      <c r="O26" s="3">
        <f>+G26*L26*M26*N26*(1+'[2]Pesos escenarios'!$F$8/2)</f>
        <v>17551.865200145374</v>
      </c>
      <c r="P26" t="s">
        <v>94</v>
      </c>
      <c r="Q26" t="str">
        <f t="shared" si="2"/>
        <v>Saldo no utilizado TC</v>
      </c>
    </row>
    <row r="27" spans="1:17" x14ac:dyDescent="0.35">
      <c r="A27">
        <v>6702</v>
      </c>
      <c r="B27" s="98" t="s">
        <v>109</v>
      </c>
      <c r="C27" s="113">
        <f>VLOOKUP($A27,[3]Hoja1!$C$5:$BZ$72,3,FALSE)</f>
        <v>12000000</v>
      </c>
      <c r="D27" s="113">
        <f>VLOOKUP($A27,[3]Hoja1!$C$5:$BZ$72,50,FALSE)</f>
        <v>3885614.23</v>
      </c>
      <c r="E27" s="113">
        <f>VLOOKUP($A27,[3]Hoja1!$C$5:$BZ$72,51,FALSE)*$W$1</f>
        <v>31761.946666</v>
      </c>
      <c r="F27" s="2">
        <f t="shared" si="0"/>
        <v>8082623.8233339991</v>
      </c>
      <c r="G27" s="114">
        <f t="shared" si="5"/>
        <v>8082623.8233339991</v>
      </c>
      <c r="H27" s="4"/>
      <c r="I27" s="4" t="str">
        <f t="shared" si="1"/>
        <v>Sit.Normal</v>
      </c>
      <c r="J27" s="3">
        <f t="shared" si="3"/>
        <v>1</v>
      </c>
      <c r="K27" s="3">
        <f t="shared" si="4"/>
        <v>1</v>
      </c>
      <c r="L27" s="4">
        <f>+IF(J27=1,Diccionario!$M$2,IF(J27=2,Diccionario!$M$3,1))</f>
        <v>1.4999999999999999E-2</v>
      </c>
      <c r="M27" s="4">
        <f>IF(J27&lt;=3,Diccionario!$O$2,IF(J27=4,Diccionario!$O$5,Diccionario!$O$6))</f>
        <v>0.66499985814979368</v>
      </c>
      <c r="N27" s="19">
        <v>0.4</v>
      </c>
      <c r="O27" s="3">
        <f>+G27*L27*M27*N27*(1+'[2]Pesos escenarios'!$F$8/2)</f>
        <v>42983.017818326742</v>
      </c>
      <c r="P27" t="s">
        <v>94</v>
      </c>
      <c r="Q27" t="str">
        <f t="shared" si="2"/>
        <v>Saldo no utilizado TC</v>
      </c>
    </row>
    <row r="28" spans="1:17" x14ac:dyDescent="0.35">
      <c r="A28">
        <v>54434</v>
      </c>
      <c r="B28" s="98" t="s">
        <v>109</v>
      </c>
      <c r="C28" s="113">
        <f>VLOOKUP($A28,[3]Hoja1!$C$5:$BZ$72,3,FALSE)</f>
        <v>20000</v>
      </c>
      <c r="D28" s="113">
        <f>VLOOKUP($A28,[3]Hoja1!$C$5:$BZ$72,50,FALSE)</f>
        <v>134.31</v>
      </c>
      <c r="E28" s="113">
        <f>VLOOKUP($A28,[3]Hoja1!$C$5:$BZ$72,51,FALSE)*$W$1</f>
        <v>0</v>
      </c>
      <c r="F28" s="2">
        <f t="shared" si="0"/>
        <v>19865.689999999999</v>
      </c>
      <c r="G28" s="114">
        <f t="shared" si="5"/>
        <v>19865.689999999999</v>
      </c>
      <c r="H28" s="4"/>
      <c r="I28" s="4" t="str">
        <f t="shared" si="1"/>
        <v>Sit.Normal</v>
      </c>
      <c r="J28" s="3">
        <f t="shared" si="3"/>
        <v>1</v>
      </c>
      <c r="K28" s="3">
        <f t="shared" si="4"/>
        <v>1</v>
      </c>
      <c r="L28" s="4">
        <f>+IF(J28=1,Diccionario!$M$2,IF(J28=2,Diccionario!$M$3,1))</f>
        <v>1.4999999999999999E-2</v>
      </c>
      <c r="M28" s="4">
        <f>IF(J28&lt;=3,Diccionario!$O$2,IF(J28=4,Diccionario!$O$5,Diccionario!$O$6))</f>
        <v>0.66499985814979368</v>
      </c>
      <c r="N28" s="19">
        <v>0.4</v>
      </c>
      <c r="O28" s="3">
        <f>+G28*L28*M28*N28*(1+'[2]Pesos escenarios'!$F$8/2)</f>
        <v>105.64481607794727</v>
      </c>
      <c r="P28" t="s">
        <v>94</v>
      </c>
      <c r="Q28" t="str">
        <f t="shared" si="2"/>
        <v>Saldo no utilizado TC</v>
      </c>
    </row>
    <row r="29" spans="1:17" x14ac:dyDescent="0.35">
      <c r="A29">
        <v>23008</v>
      </c>
      <c r="B29" s="98" t="s">
        <v>109</v>
      </c>
      <c r="C29" s="113">
        <f>VLOOKUP($A29,[3]Hoja1!$C$5:$BZ$72,3,FALSE)</f>
        <v>1200000</v>
      </c>
      <c r="D29" s="113">
        <f>VLOOKUP($A29,[3]Hoja1!$C$5:$BZ$72,50,FALSE)</f>
        <v>134.31</v>
      </c>
      <c r="E29" s="113">
        <f>VLOOKUP($A29,[3]Hoja1!$C$5:$BZ$72,51,FALSE)*$W$1</f>
        <v>0</v>
      </c>
      <c r="F29" s="2">
        <f t="shared" si="0"/>
        <v>1199865.69</v>
      </c>
      <c r="G29" s="114">
        <f t="shared" si="5"/>
        <v>1199865.69</v>
      </c>
      <c r="H29" s="4"/>
      <c r="I29" s="4" t="str">
        <f t="shared" si="1"/>
        <v>Sit.Normal</v>
      </c>
      <c r="J29" s="3">
        <f t="shared" si="3"/>
        <v>1</v>
      </c>
      <c r="K29" s="3">
        <f t="shared" si="4"/>
        <v>1</v>
      </c>
      <c r="L29" s="4">
        <f>+IF(J29=1,Diccionario!$M$2,IF(J29=2,Diccionario!$M$3,1))</f>
        <v>1.4999999999999999E-2</v>
      </c>
      <c r="M29" s="4">
        <f>IF(J29&lt;=3,Diccionario!$O$2,IF(J29=4,Diccionario!$O$5,Diccionario!$O$6))</f>
        <v>0.66499985814979368</v>
      </c>
      <c r="N29" s="19">
        <v>0.4</v>
      </c>
      <c r="O29" s="3">
        <f>+G29*L29*M29*N29*(1+'[2]Pesos escenarios'!$F$8/2)</f>
        <v>6380.829970581909</v>
      </c>
      <c r="P29" t="s">
        <v>94</v>
      </c>
      <c r="Q29" t="str">
        <f t="shared" si="2"/>
        <v>Saldo no utilizado TC</v>
      </c>
    </row>
    <row r="30" spans="1:17" x14ac:dyDescent="0.35">
      <c r="A30">
        <v>7810</v>
      </c>
      <c r="B30" s="98" t="s">
        <v>109</v>
      </c>
      <c r="C30" s="113">
        <f>VLOOKUP($A30,[3]Hoja1!$C$5:$BZ$72,3,FALSE)</f>
        <v>900000</v>
      </c>
      <c r="D30" s="113">
        <f>VLOOKUP($A30,[3]Hoja1!$C$5:$BZ$72,50,FALSE)</f>
        <v>71345.55</v>
      </c>
      <c r="E30" s="113">
        <f>VLOOKUP($A30,[3]Hoja1!$C$5:$BZ$72,51,FALSE)*$W$1</f>
        <v>0</v>
      </c>
      <c r="F30" s="2">
        <f t="shared" si="0"/>
        <v>828654.45</v>
      </c>
      <c r="G30" s="114">
        <f t="shared" si="5"/>
        <v>828654.45</v>
      </c>
      <c r="H30" s="4"/>
      <c r="I30" s="4" t="str">
        <f t="shared" si="1"/>
        <v>Sit.Normal</v>
      </c>
      <c r="J30" s="3">
        <f t="shared" si="3"/>
        <v>1</v>
      </c>
      <c r="K30" s="3">
        <f t="shared" si="4"/>
        <v>1</v>
      </c>
      <c r="L30" s="4">
        <f>+IF(J30=1,Diccionario!$M$2,IF(J30=2,Diccionario!$M$3,1))</f>
        <v>1.4999999999999999E-2</v>
      </c>
      <c r="M30" s="4">
        <f>IF(J30&lt;=3,Diccionario!$O$2,IF(J30=4,Diccionario!$O$5,Diccionario!$O$6))</f>
        <v>0.66499985814979368</v>
      </c>
      <c r="N30" s="19">
        <v>0.4</v>
      </c>
      <c r="O30" s="3">
        <f>+G30*L30*M30*N30*(1+'[2]Pesos escenarios'!$F$8/2)</f>
        <v>4406.7458498759697</v>
      </c>
      <c r="P30" t="s">
        <v>94</v>
      </c>
      <c r="Q30" t="str">
        <f t="shared" si="2"/>
        <v>Saldo no utilizado TC</v>
      </c>
    </row>
    <row r="31" spans="1:17" x14ac:dyDescent="0.35">
      <c r="A31">
        <v>131</v>
      </c>
      <c r="B31" s="98" t="s">
        <v>109</v>
      </c>
      <c r="C31" s="113">
        <f>VLOOKUP($A31,[3]Hoja1!$C$5:$BZ$72,3,FALSE)</f>
        <v>1600000</v>
      </c>
      <c r="D31" s="113">
        <f>VLOOKUP($A31,[3]Hoja1!$C$5:$BZ$72,50,FALSE)</f>
        <v>144643.43</v>
      </c>
      <c r="E31" s="113">
        <f>VLOOKUP($A31,[3]Hoja1!$C$5:$BZ$72,51,FALSE)*$W$1</f>
        <v>0</v>
      </c>
      <c r="F31" s="2">
        <f t="shared" si="0"/>
        <v>1455356.57</v>
      </c>
      <c r="G31" s="114">
        <f t="shared" si="5"/>
        <v>1455356.57</v>
      </c>
      <c r="H31" s="4"/>
      <c r="I31" s="4" t="str">
        <f t="shared" si="1"/>
        <v>Sit.Normal</v>
      </c>
      <c r="J31" s="3">
        <f t="shared" si="3"/>
        <v>1</v>
      </c>
      <c r="K31" s="3">
        <f t="shared" si="4"/>
        <v>1</v>
      </c>
      <c r="L31" s="4">
        <f>+IF(J31=1,Diccionario!$M$2,IF(J31=2,Diccionario!$M$3,1))</f>
        <v>1.4999999999999999E-2</v>
      </c>
      <c r="M31" s="4">
        <f>IF(J31&lt;=3,Diccionario!$O$2,IF(J31=4,Diccionario!$O$5,Diccionario!$O$6))</f>
        <v>0.66499985814979368</v>
      </c>
      <c r="N31" s="19">
        <v>0.4</v>
      </c>
      <c r="O31" s="3">
        <f>+G31*L31*M31*N31*(1+'[2]Pesos escenarios'!$F$8/2)</f>
        <v>7739.5185954015287</v>
      </c>
      <c r="P31" t="s">
        <v>94</v>
      </c>
      <c r="Q31" t="str">
        <f t="shared" si="2"/>
        <v>Saldo no utilizado TC</v>
      </c>
    </row>
    <row r="32" spans="1:17" x14ac:dyDescent="0.35">
      <c r="A32">
        <v>490</v>
      </c>
      <c r="B32" s="98" t="s">
        <v>109</v>
      </c>
      <c r="C32" s="113">
        <f>VLOOKUP($A32,[3]Hoja1!$C$5:$BZ$72,3,FALSE)</f>
        <v>220000</v>
      </c>
      <c r="D32" s="113">
        <f>VLOOKUP($A32,[3]Hoja1!$C$5:$BZ$72,50,FALSE)</f>
        <v>10253.16</v>
      </c>
      <c r="E32" s="113">
        <f>VLOOKUP($A32,[3]Hoja1!$C$5:$BZ$72,51,FALSE)*$W$1</f>
        <v>19980.850210000001</v>
      </c>
      <c r="F32" s="2">
        <f t="shared" si="0"/>
        <v>189765.98978999999</v>
      </c>
      <c r="G32" s="114">
        <f t="shared" si="5"/>
        <v>189765.98978999999</v>
      </c>
      <c r="H32" s="4"/>
      <c r="I32" s="4" t="str">
        <f t="shared" si="1"/>
        <v>Sit.Normal</v>
      </c>
      <c r="J32" s="3">
        <f t="shared" si="3"/>
        <v>1</v>
      </c>
      <c r="K32" s="3">
        <f t="shared" si="4"/>
        <v>1</v>
      </c>
      <c r="L32" s="4">
        <f>+IF(J32=1,Diccionario!$M$2,IF(J32=2,Diccionario!$M$3,1))</f>
        <v>1.4999999999999999E-2</v>
      </c>
      <c r="M32" s="4">
        <f>IF(J32&lt;=3,Diccionario!$O$2,IF(J32=4,Diccionario!$O$5,Diccionario!$O$6))</f>
        <v>0.66499985814979368</v>
      </c>
      <c r="N32" s="19">
        <v>0.4</v>
      </c>
      <c r="O32" s="3">
        <f>+G32*L32*M32*N32*(1+'[2]Pesos escenarios'!$F$8/2)</f>
        <v>1009.1667135253882</v>
      </c>
      <c r="P32" t="s">
        <v>94</v>
      </c>
      <c r="Q32" t="str">
        <f t="shared" si="2"/>
        <v>Saldo no utilizado TC</v>
      </c>
    </row>
    <row r="33" spans="1:19" x14ac:dyDescent="0.35">
      <c r="A33">
        <v>14998</v>
      </c>
      <c r="B33" s="98" t="s">
        <v>109</v>
      </c>
      <c r="C33" s="113">
        <f>VLOOKUP($A33,[3]Hoja1!$C$5:$BZ$72,3,FALSE)</f>
        <v>7000000</v>
      </c>
      <c r="D33" s="113">
        <f>VLOOKUP($A33,[3]Hoja1!$C$5:$BZ$72,50,FALSE)</f>
        <v>913430.9</v>
      </c>
      <c r="E33" s="113">
        <f>VLOOKUP($A33,[3]Hoja1!$C$5:$BZ$72,51,FALSE)*$W$1</f>
        <v>3387.7566100000004</v>
      </c>
      <c r="F33" s="2">
        <f t="shared" si="0"/>
        <v>6083181.3433900001</v>
      </c>
      <c r="G33" s="114">
        <f t="shared" si="5"/>
        <v>6083181.3433900001</v>
      </c>
      <c r="H33" s="4"/>
      <c r="I33" s="4" t="str">
        <f t="shared" ref="I33:I63" si="6">+TRIM(B33)</f>
        <v>Sit.Normal</v>
      </c>
      <c r="J33" s="3">
        <f t="shared" ref="J33:J61" si="7">IF(I33="Sit.Normal","1",IF(I33="Riesgo Potencia","2",IF(I33="Con problemas","3",IF(I33="Alto Riesgo","4",IF(I33="Irrecuperable","5",IF(I33="Irrec Disp Tecn","6",0))))))*1</f>
        <v>1</v>
      </c>
      <c r="K33" s="3">
        <f t="shared" si="4"/>
        <v>1</v>
      </c>
      <c r="L33" s="4">
        <f>+IF(J33=1,Diccionario!$M$2,IF(J33=2,Diccionario!$M$3,1))</f>
        <v>1.4999999999999999E-2</v>
      </c>
      <c r="M33" s="4">
        <f>IF(J33&lt;=3,Diccionario!$O$2,IF(J33=4,Diccionario!$O$5,Diccionario!$O$6))</f>
        <v>0.66499985814979368</v>
      </c>
      <c r="N33" s="19">
        <v>0.4</v>
      </c>
      <c r="O33" s="3">
        <f>+G33*L33*M33*N33*(1+'[2]Pesos escenarios'!$F$8/2)</f>
        <v>32350.075642539316</v>
      </c>
      <c r="P33" t="s">
        <v>94</v>
      </c>
      <c r="Q33" t="str">
        <f t="shared" si="2"/>
        <v>Saldo no utilizado TC</v>
      </c>
    </row>
    <row r="34" spans="1:19" x14ac:dyDescent="0.35">
      <c r="A34">
        <v>49</v>
      </c>
      <c r="B34" s="98" t="s">
        <v>109</v>
      </c>
      <c r="C34" s="113">
        <f>VLOOKUP($A34,[3]Hoja1!$C$5:$BZ$72,3,FALSE)</f>
        <v>1200000</v>
      </c>
      <c r="D34" s="113">
        <f>VLOOKUP($A34,[3]Hoja1!$C$5:$BZ$72,50,FALSE)</f>
        <v>80910.19</v>
      </c>
      <c r="E34" s="113">
        <f>VLOOKUP($A34,[3]Hoja1!$C$5:$BZ$72,51,FALSE)*$W$1</f>
        <v>0</v>
      </c>
      <c r="F34" s="2">
        <f t="shared" si="0"/>
        <v>1119089.81</v>
      </c>
      <c r="G34" s="114">
        <f t="shared" si="5"/>
        <v>1119089.81</v>
      </c>
      <c r="H34" s="4"/>
      <c r="I34" s="4" t="str">
        <f t="shared" si="6"/>
        <v>Sit.Normal</v>
      </c>
      <c r="J34" s="3">
        <f t="shared" si="7"/>
        <v>1</v>
      </c>
      <c r="K34" s="3">
        <f t="shared" si="4"/>
        <v>1</v>
      </c>
      <c r="L34" s="4">
        <f>+IF(J34=1,Diccionario!$M$2,IF(J34=2,Diccionario!$M$3,1))</f>
        <v>1.4999999999999999E-2</v>
      </c>
      <c r="M34" s="4">
        <f>IF(J34&lt;=3,Diccionario!$O$2,IF(J34=4,Diccionario!$O$5,Diccionario!$O$6))</f>
        <v>0.66499985814979368</v>
      </c>
      <c r="N34" s="19">
        <v>0.4</v>
      </c>
      <c r="O34" s="3">
        <f>+G34*L34*M34*N34*(1+'[2]Pesos escenarios'!$F$8/2)</f>
        <v>5951.267595142931</v>
      </c>
      <c r="P34" t="s">
        <v>94</v>
      </c>
      <c r="Q34" t="str">
        <f t="shared" si="2"/>
        <v>Saldo no utilizado TC</v>
      </c>
    </row>
    <row r="35" spans="1:19" x14ac:dyDescent="0.35">
      <c r="A35">
        <v>3833</v>
      </c>
      <c r="B35" s="98" t="s">
        <v>109</v>
      </c>
      <c r="C35" s="113">
        <f>VLOOKUP($A35,[3]Hoja1!$C$5:$BZ$72,3,FALSE)</f>
        <v>6000000</v>
      </c>
      <c r="D35" s="113">
        <f>VLOOKUP($A35,[3]Hoja1!$C$5:$BZ$72,50,FALSE)</f>
        <v>209497.1</v>
      </c>
      <c r="E35" s="113">
        <f>VLOOKUP($A35,[3]Hoja1!$C$5:$BZ$72,51,FALSE)*$W$1</f>
        <v>0</v>
      </c>
      <c r="F35" s="2">
        <f t="shared" si="0"/>
        <v>5790502.9000000004</v>
      </c>
      <c r="G35" s="114">
        <f t="shared" si="5"/>
        <v>5790502.9000000004</v>
      </c>
      <c r="H35" s="4"/>
      <c r="I35" s="4" t="str">
        <f t="shared" si="6"/>
        <v>Sit.Normal</v>
      </c>
      <c r="J35" s="3">
        <f t="shared" si="7"/>
        <v>1</v>
      </c>
      <c r="K35" s="3">
        <f t="shared" si="4"/>
        <v>1</v>
      </c>
      <c r="L35" s="4">
        <f>+IF(J35=1,Diccionario!$M$2,IF(J35=2,Diccionario!$M$3,1))</f>
        <v>1.4999999999999999E-2</v>
      </c>
      <c r="M35" s="4">
        <f>IF(J35&lt;=3,Diccionario!$O$2,IF(J35=4,Diccionario!$O$5,Diccionario!$O$6))</f>
        <v>0.66499985814979368</v>
      </c>
      <c r="N35" s="19">
        <v>0.4</v>
      </c>
      <c r="O35" s="3">
        <f>+G35*L35*M35*N35*(1+'[2]Pesos escenarios'!$F$8/2)</f>
        <v>30793.625284061134</v>
      </c>
      <c r="P35" t="s">
        <v>94</v>
      </c>
      <c r="Q35" t="str">
        <f t="shared" si="2"/>
        <v>Saldo no utilizado TC</v>
      </c>
    </row>
    <row r="36" spans="1:19" x14ac:dyDescent="0.35">
      <c r="A36">
        <v>2021</v>
      </c>
      <c r="B36" s="98" t="s">
        <v>109</v>
      </c>
      <c r="C36" s="113">
        <f>VLOOKUP($A36,[3]Hoja1!$C$5:$BZ$72,3,FALSE)</f>
        <v>8000000</v>
      </c>
      <c r="D36" s="113">
        <f>VLOOKUP($A36,[3]Hoja1!$C$5:$BZ$72,50,FALSE)</f>
        <v>1166510.6499999999</v>
      </c>
      <c r="E36" s="113">
        <f>VLOOKUP($A36,[3]Hoja1!$C$5:$BZ$72,51,FALSE)*$W$1</f>
        <v>4383.3422259999998</v>
      </c>
      <c r="F36" s="2">
        <f t="shared" si="0"/>
        <v>6829106.0077740001</v>
      </c>
      <c r="G36" s="114">
        <f t="shared" si="5"/>
        <v>6829106.0077740001</v>
      </c>
      <c r="H36" s="4"/>
      <c r="I36" s="4" t="str">
        <f t="shared" si="6"/>
        <v>Sit.Normal</v>
      </c>
      <c r="J36" s="3">
        <f t="shared" si="7"/>
        <v>1</v>
      </c>
      <c r="K36" s="3">
        <f t="shared" si="4"/>
        <v>1</v>
      </c>
      <c r="L36" s="4">
        <f>+IF(J36=1,Diccionario!$M$2,IF(J36=2,Diccionario!$M$3,1))</f>
        <v>1.4999999999999999E-2</v>
      </c>
      <c r="M36" s="4">
        <f>IF(J36&lt;=3,Diccionario!$O$2,IF(J36=4,Diccionario!$O$5,Diccionario!$O$6))</f>
        <v>0.66499985814979368</v>
      </c>
      <c r="N36" s="19">
        <v>0.4</v>
      </c>
      <c r="O36" s="3">
        <f>+G36*L36*M36*N36*(1+'[2]Pesos escenarios'!$F$8/2)</f>
        <v>36316.868337726453</v>
      </c>
      <c r="P36" t="s">
        <v>94</v>
      </c>
      <c r="Q36" t="str">
        <f t="shared" si="2"/>
        <v>Saldo no utilizado TC</v>
      </c>
    </row>
    <row r="37" spans="1:19" x14ac:dyDescent="0.35">
      <c r="A37">
        <v>13377</v>
      </c>
      <c r="B37" s="98" t="s">
        <v>109</v>
      </c>
      <c r="C37" s="113">
        <f>VLOOKUP($A37,[3]Hoja1!$C$5:$BZ$72,3,FALSE)</f>
        <v>7000000</v>
      </c>
      <c r="D37" s="113">
        <f>VLOOKUP($A37,[3]Hoja1!$C$5:$BZ$72,50,FALSE)</f>
        <v>31087.46</v>
      </c>
      <c r="E37" s="113">
        <f>VLOOKUP($A37,[3]Hoja1!$C$5:$BZ$72,51,FALSE)*$W$1</f>
        <v>19261.816154</v>
      </c>
      <c r="F37" s="2">
        <f t="shared" si="0"/>
        <v>6949650.7238459997</v>
      </c>
      <c r="G37" s="114">
        <f t="shared" si="5"/>
        <v>6949650.7238459997</v>
      </c>
      <c r="H37" s="4"/>
      <c r="I37" s="4" t="str">
        <f t="shared" si="6"/>
        <v>Sit.Normal</v>
      </c>
      <c r="J37" s="3">
        <f t="shared" si="7"/>
        <v>1</v>
      </c>
      <c r="K37" s="3">
        <f t="shared" si="4"/>
        <v>1</v>
      </c>
      <c r="L37" s="4">
        <f>+IF(J37=1,Diccionario!$M$2,IF(J37=2,Diccionario!$M$3,1))</f>
        <v>1.4999999999999999E-2</v>
      </c>
      <c r="M37" s="4">
        <f>IF(J37&lt;=3,Diccionario!$O$2,IF(J37=4,Diccionario!$O$5,Diccionario!$O$6))</f>
        <v>0.66499985814979368</v>
      </c>
      <c r="N37" s="19">
        <v>0.4</v>
      </c>
      <c r="O37" s="3">
        <f>+G37*L37*M37*N37*(1+'[2]Pesos escenarios'!$F$8/2)</f>
        <v>36957.91953497129</v>
      </c>
      <c r="P37" t="s">
        <v>94</v>
      </c>
      <c r="Q37" t="str">
        <f t="shared" si="2"/>
        <v>Saldo no utilizado TC</v>
      </c>
    </row>
    <row r="38" spans="1:19" x14ac:dyDescent="0.35">
      <c r="A38">
        <v>2366</v>
      </c>
      <c r="B38" s="98" t="s">
        <v>109</v>
      </c>
      <c r="C38" s="113">
        <f>VLOOKUP($A38,[3]Hoja1!$C$5:$BZ$72,3,FALSE)</f>
        <v>5500000</v>
      </c>
      <c r="D38" s="113">
        <f>VLOOKUP($A38,[3]Hoja1!$C$5:$BZ$72,50,FALSE)</f>
        <v>535166.6</v>
      </c>
      <c r="E38" s="113">
        <f>VLOOKUP($A38,[3]Hoja1!$C$5:$BZ$72,51,FALSE)*$W$1</f>
        <v>22455.986671999999</v>
      </c>
      <c r="F38" s="2">
        <f t="shared" si="0"/>
        <v>4942377.4133280003</v>
      </c>
      <c r="G38" s="114">
        <f t="shared" si="5"/>
        <v>4942377.4133280003</v>
      </c>
      <c r="H38" s="4"/>
      <c r="I38" s="4" t="str">
        <f t="shared" si="6"/>
        <v>Sit.Normal</v>
      </c>
      <c r="J38" s="3">
        <f t="shared" si="7"/>
        <v>1</v>
      </c>
      <c r="K38" s="3">
        <f t="shared" si="4"/>
        <v>1</v>
      </c>
      <c r="L38" s="4">
        <f>+IF(J38=1,Diccionario!$M$2,IF(J38=2,Diccionario!$M$3,1))</f>
        <v>1.4999999999999999E-2</v>
      </c>
      <c r="M38" s="4">
        <f>IF(J38&lt;=3,Diccionario!$O$2,IF(J38=4,Diccionario!$O$5,Diccionario!$O$6))</f>
        <v>0.66499985814979368</v>
      </c>
      <c r="N38" s="19">
        <v>0.4</v>
      </c>
      <c r="O38" s="3">
        <f>+G38*L38*M38*N38*(1+'[2]Pesos escenarios'!$F$8/2)</f>
        <v>26283.333366162329</v>
      </c>
      <c r="P38" t="s">
        <v>94</v>
      </c>
      <c r="Q38" t="str">
        <f t="shared" si="2"/>
        <v>Saldo no utilizado TC</v>
      </c>
    </row>
    <row r="39" spans="1:19" x14ac:dyDescent="0.35">
      <c r="A39">
        <v>59859</v>
      </c>
      <c r="B39" s="98" t="s">
        <v>109</v>
      </c>
      <c r="C39" s="113">
        <f>VLOOKUP($A39,[3]Hoja1!$C$5:$BZ$72,3,FALSE)</f>
        <v>300000</v>
      </c>
      <c r="D39" s="113">
        <f>VLOOKUP($A39,[3]Hoja1!$C$5:$BZ$72,50,FALSE)</f>
        <v>93366.19</v>
      </c>
      <c r="E39" s="113">
        <f>VLOOKUP($A39,[3]Hoja1!$C$5:$BZ$72,51,FALSE)*$W$1</f>
        <v>0</v>
      </c>
      <c r="F39" s="2">
        <f t="shared" si="0"/>
        <v>206633.81</v>
      </c>
      <c r="G39" s="114">
        <f t="shared" si="5"/>
        <v>206633.81</v>
      </c>
      <c r="H39" s="4"/>
      <c r="I39" s="4" t="str">
        <f t="shared" si="6"/>
        <v>Sit.Normal</v>
      </c>
      <c r="J39" s="3">
        <f t="shared" si="7"/>
        <v>1</v>
      </c>
      <c r="K39" s="3">
        <f t="shared" si="4"/>
        <v>1</v>
      </c>
      <c r="L39" s="4">
        <f>+IF(J39=1,Diccionario!$M$2,IF(J39=2,Diccionario!$M$3,1))</f>
        <v>1.4999999999999999E-2</v>
      </c>
      <c r="M39" s="4">
        <f>IF(J39&lt;=3,Diccionario!$O$2,IF(J39=4,Diccionario!$O$5,Diccionario!$O$6))</f>
        <v>0.66499985814979368</v>
      </c>
      <c r="N39" s="19">
        <v>0.4</v>
      </c>
      <c r="O39" s="3">
        <f>+G39*L39*M39*N39*(1+'[2]Pesos escenarios'!$F$8/2)</f>
        <v>1098.8689973988069</v>
      </c>
      <c r="P39" t="s">
        <v>94</v>
      </c>
      <c r="Q39" t="str">
        <f t="shared" si="2"/>
        <v>Saldo no utilizado TC</v>
      </c>
      <c r="S39" s="118"/>
    </row>
    <row r="40" spans="1:19" x14ac:dyDescent="0.35">
      <c r="A40">
        <v>6665</v>
      </c>
      <c r="B40" s="98" t="s">
        <v>109</v>
      </c>
      <c r="C40" s="113">
        <f>VLOOKUP($A40,[3]Hoja1!$C$5:$BZ$72,3,FALSE)</f>
        <v>6000000</v>
      </c>
      <c r="D40" s="113">
        <f>VLOOKUP($A40,[3]Hoja1!$C$5:$BZ$72,50,FALSE)</f>
        <v>2452202.04</v>
      </c>
      <c r="E40" s="113">
        <f>VLOOKUP($A40,[3]Hoja1!$C$5:$BZ$72,51,FALSE)*$W$1</f>
        <v>3591851.6612800001</v>
      </c>
      <c r="F40" s="2">
        <f t="shared" si="0"/>
        <v>-44053.701280000154</v>
      </c>
      <c r="G40" s="114">
        <f>IF(F40&gt;C40,C40,IF(F40&gt;0,F40,0))</f>
        <v>0</v>
      </c>
      <c r="H40" s="4"/>
      <c r="I40" s="4" t="str">
        <f t="shared" si="6"/>
        <v>Sit.Normal</v>
      </c>
      <c r="J40" s="3">
        <f t="shared" si="7"/>
        <v>1</v>
      </c>
      <c r="K40" s="3">
        <f t="shared" si="4"/>
        <v>1</v>
      </c>
      <c r="L40" s="4">
        <f>+IF(J40=1,Diccionario!$M$2,IF(J40=2,Diccionario!$M$3,1))</f>
        <v>1.4999999999999999E-2</v>
      </c>
      <c r="M40" s="4">
        <f>IF(J40&lt;=3,Diccionario!$O$2,IF(J40=4,Diccionario!$O$5,Diccionario!$O$6))</f>
        <v>0.66499985814979368</v>
      </c>
      <c r="N40" s="19">
        <v>0.4</v>
      </c>
      <c r="O40" s="3">
        <f>+G40*L40*M40*N40*(1+'[2]Pesos escenarios'!$F$8/2)</f>
        <v>0</v>
      </c>
      <c r="P40" t="s">
        <v>94</v>
      </c>
      <c r="Q40" t="str">
        <f t="shared" si="2"/>
        <v>Saldo no utilizado TC</v>
      </c>
    </row>
    <row r="41" spans="1:19" x14ac:dyDescent="0.35">
      <c r="A41">
        <v>54311</v>
      </c>
      <c r="B41" s="98" t="s">
        <v>109</v>
      </c>
      <c r="C41" s="113">
        <f>VLOOKUP($A41,[3]Hoja1!$C$5:$BZ$72,3,FALSE)</f>
        <v>2000000</v>
      </c>
      <c r="D41" s="113">
        <f>VLOOKUP($A41,[3]Hoja1!$C$5:$BZ$72,50,FALSE)</f>
        <v>739708.35</v>
      </c>
      <c r="E41" s="113">
        <f>VLOOKUP($A41,[3]Hoja1!$C$5:$BZ$72,51,FALSE)*$W$1</f>
        <v>0</v>
      </c>
      <c r="F41" s="2">
        <f t="shared" si="0"/>
        <v>1260291.6499999999</v>
      </c>
      <c r="G41" s="114">
        <f t="shared" si="5"/>
        <v>1260291.6499999999</v>
      </c>
      <c r="H41" s="4"/>
      <c r="I41" s="4" t="str">
        <f t="shared" si="6"/>
        <v>Sit.Normal</v>
      </c>
      <c r="J41" s="3">
        <f t="shared" si="7"/>
        <v>1</v>
      </c>
      <c r="K41" s="3">
        <f t="shared" si="4"/>
        <v>1</v>
      </c>
      <c r="L41" s="4">
        <f>+IF(J41=1,Diccionario!$M$2,IF(J41=2,Diccionario!$M$3,1))</f>
        <v>1.4999999999999999E-2</v>
      </c>
      <c r="M41" s="4">
        <f>IF(J41&lt;=3,Diccionario!$O$2,IF(J41=4,Diccionario!$O$5,Diccionario!$O$6))</f>
        <v>0.66499985814979368</v>
      </c>
      <c r="N41" s="19">
        <v>0.4</v>
      </c>
      <c r="O41" s="3">
        <f>+G41*L41*M41*N41*(1+'[2]Pesos escenarios'!$F$8/2)</f>
        <v>6702.172417309579</v>
      </c>
      <c r="P41" t="s">
        <v>94</v>
      </c>
      <c r="Q41" t="str">
        <f t="shared" si="2"/>
        <v>Saldo no utilizado TC</v>
      </c>
    </row>
    <row r="42" spans="1:19" x14ac:dyDescent="0.35">
      <c r="A42">
        <v>19542</v>
      </c>
      <c r="B42" s="98" t="s">
        <v>109</v>
      </c>
      <c r="C42" s="113">
        <f>VLOOKUP($A42,[3]Hoja1!$C$5:$BZ$72,3,FALSE)</f>
        <v>4000000</v>
      </c>
      <c r="D42" s="113">
        <f>VLOOKUP($A42,[3]Hoja1!$C$5:$BZ$72,50,FALSE)</f>
        <v>1268756.27</v>
      </c>
      <c r="E42" s="113">
        <f>VLOOKUP($A42,[3]Hoja1!$C$5:$BZ$72,51,FALSE)*$W$1</f>
        <v>0</v>
      </c>
      <c r="F42" s="2">
        <f t="shared" si="0"/>
        <v>2731243.73</v>
      </c>
      <c r="G42" s="114">
        <f t="shared" si="5"/>
        <v>2731243.73</v>
      </c>
      <c r="H42" s="4"/>
      <c r="I42" s="4" t="str">
        <f t="shared" si="6"/>
        <v>Sit.Normal</v>
      </c>
      <c r="J42" s="3">
        <f t="shared" si="7"/>
        <v>1</v>
      </c>
      <c r="K42" s="3">
        <f t="shared" si="4"/>
        <v>1</v>
      </c>
      <c r="L42" s="4">
        <f>+IF(J42=1,Diccionario!$M$2,IF(J42=2,Diccionario!$M$3,1))</f>
        <v>1.4999999999999999E-2</v>
      </c>
      <c r="M42" s="4">
        <f>IF(J42&lt;=3,Diccionario!$O$2,IF(J42=4,Diccionario!$O$5,Diccionario!$O$6))</f>
        <v>0.66499985814979368</v>
      </c>
      <c r="N42" s="19">
        <v>0.4</v>
      </c>
      <c r="O42" s="3">
        <f>+G42*L42*M42*N42*(1+'[2]Pesos escenarios'!$F$8/2)</f>
        <v>14524.627210023749</v>
      </c>
      <c r="P42" t="s">
        <v>94</v>
      </c>
      <c r="Q42" t="str">
        <f t="shared" si="2"/>
        <v>Saldo no utilizado TC</v>
      </c>
    </row>
    <row r="43" spans="1:19" x14ac:dyDescent="0.35">
      <c r="A43">
        <v>82400</v>
      </c>
      <c r="B43" s="98" t="s">
        <v>109</v>
      </c>
      <c r="C43" s="113">
        <f>VLOOKUP($A43,[3]Hoja1!$C$5:$BZ$72,3,FALSE)</f>
        <v>500000</v>
      </c>
      <c r="D43" s="113">
        <f>VLOOKUP($A43,[3]Hoja1!$C$5:$BZ$72,50,FALSE)</f>
        <v>134.31</v>
      </c>
      <c r="E43" s="113">
        <f>VLOOKUP($A43,[3]Hoja1!$C$5:$BZ$72,51,FALSE)*$W$1</f>
        <v>0</v>
      </c>
      <c r="F43" s="2">
        <f t="shared" si="0"/>
        <v>499865.69</v>
      </c>
      <c r="G43" s="114">
        <f t="shared" si="5"/>
        <v>499865.69</v>
      </c>
      <c r="H43" s="4"/>
      <c r="I43" s="4" t="str">
        <f t="shared" si="6"/>
        <v>Sit.Normal</v>
      </c>
      <c r="J43" s="3">
        <f t="shared" si="7"/>
        <v>1</v>
      </c>
      <c r="K43" s="3">
        <f t="shared" si="4"/>
        <v>1</v>
      </c>
      <c r="L43" s="4">
        <f>+IF(J43=1,Diccionario!$M$2,IF(J43=2,Diccionario!$M$3,1))</f>
        <v>1.4999999999999999E-2</v>
      </c>
      <c r="M43" s="4">
        <f>IF(J43&lt;=3,Diccionario!$O$2,IF(J43=4,Diccionario!$O$5,Diccionario!$O$6))</f>
        <v>0.66499985814979368</v>
      </c>
      <c r="N43" s="19">
        <v>0.4</v>
      </c>
      <c r="O43" s="3">
        <f>+G43*L43*M43*N43*(1+'[2]Pesos escenarios'!$F$8/2)</f>
        <v>2658.2625060456603</v>
      </c>
      <c r="P43" t="s">
        <v>94</v>
      </c>
      <c r="Q43" t="str">
        <f t="shared" si="2"/>
        <v>Saldo no utilizado TC</v>
      </c>
    </row>
    <row r="44" spans="1:19" x14ac:dyDescent="0.35">
      <c r="A44">
        <v>17980</v>
      </c>
      <c r="B44" s="98" t="s">
        <v>109</v>
      </c>
      <c r="C44" s="113">
        <f>VLOOKUP($A44,[3]Hoja1!$C$5:$BZ$72,3,FALSE)</f>
        <v>2400000</v>
      </c>
      <c r="D44" s="113">
        <f>VLOOKUP($A44,[3]Hoja1!$C$5:$BZ$72,50,FALSE)</f>
        <v>143000</v>
      </c>
      <c r="E44" s="113">
        <f>VLOOKUP($A44,[3]Hoja1!$C$5:$BZ$72,51,FALSE)*$W$1</f>
        <v>0</v>
      </c>
      <c r="F44" s="2">
        <f t="shared" si="0"/>
        <v>2257000</v>
      </c>
      <c r="G44" s="114">
        <f t="shared" si="5"/>
        <v>2257000</v>
      </c>
      <c r="H44" s="4"/>
      <c r="I44" s="4" t="str">
        <f t="shared" si="6"/>
        <v>Sit.Normal</v>
      </c>
      <c r="J44" s="3">
        <f t="shared" si="7"/>
        <v>1</v>
      </c>
      <c r="K44" s="3">
        <f t="shared" si="4"/>
        <v>1</v>
      </c>
      <c r="L44" s="4">
        <f>+IF(J44=1,Diccionario!$M$2,IF(J44=2,Diccionario!$M$3,1))</f>
        <v>1.4999999999999999E-2</v>
      </c>
      <c r="M44" s="4">
        <f>IF(J44&lt;=3,Diccionario!$O$2,IF(J44=4,Diccionario!$O$5,Diccionario!$O$6))</f>
        <v>0.66499985814979368</v>
      </c>
      <c r="N44" s="19">
        <v>0.4</v>
      </c>
      <c r="O44" s="3">
        <f>+G44*L44*M44*N44*(1+'[2]Pesos escenarios'!$F$8/2)</f>
        <v>12002.621096369017</v>
      </c>
      <c r="P44" t="s">
        <v>94</v>
      </c>
      <c r="Q44" t="str">
        <f t="shared" si="2"/>
        <v>Saldo no utilizado TC</v>
      </c>
    </row>
    <row r="45" spans="1:19" x14ac:dyDescent="0.35">
      <c r="A45">
        <v>54516</v>
      </c>
      <c r="B45" s="98" t="s">
        <v>109</v>
      </c>
      <c r="C45" s="113">
        <f>VLOOKUP($A45,[3]Hoja1!$C$5:$BZ$72,3,FALSE)</f>
        <v>4000000</v>
      </c>
      <c r="D45" s="113">
        <f>VLOOKUP($A45,[3]Hoja1!$C$5:$BZ$72,50,FALSE)</f>
        <v>1185605.6499999999</v>
      </c>
      <c r="E45" s="113">
        <f>VLOOKUP($A45,[3]Hoja1!$C$5:$BZ$72,51,FALSE)*$W$1</f>
        <v>74198.783548000007</v>
      </c>
      <c r="F45" s="2">
        <f t="shared" si="0"/>
        <v>2740195.5664520003</v>
      </c>
      <c r="G45" s="114">
        <f t="shared" si="5"/>
        <v>2740195.5664520003</v>
      </c>
      <c r="H45" s="4"/>
      <c r="I45" s="4" t="str">
        <f t="shared" si="6"/>
        <v>Sit.Normal</v>
      </c>
      <c r="J45" s="3">
        <f t="shared" si="7"/>
        <v>1</v>
      </c>
      <c r="K45" s="3">
        <f t="shared" si="4"/>
        <v>1</v>
      </c>
      <c r="L45" s="4">
        <f>+IF(J45=1,Diccionario!$M$2,IF(J45=2,Diccionario!$M$3,1))</f>
        <v>1.4999999999999999E-2</v>
      </c>
      <c r="M45" s="4">
        <f>IF(J45&lt;=3,Diccionario!$O$2,IF(J45=4,Diccionario!$O$5,Diccionario!$O$6))</f>
        <v>0.66499985814979368</v>
      </c>
      <c r="N45" s="19">
        <v>0.4</v>
      </c>
      <c r="O45" s="3">
        <f>+G45*L45*M45*N45*(1+'[2]Pesos escenarios'!$F$8/2)</f>
        <v>14572.232660200987</v>
      </c>
      <c r="P45" t="s">
        <v>94</v>
      </c>
      <c r="Q45" t="str">
        <f t="shared" si="2"/>
        <v>Saldo no utilizado TC</v>
      </c>
    </row>
    <row r="46" spans="1:19" x14ac:dyDescent="0.35">
      <c r="A46">
        <v>54541</v>
      </c>
      <c r="B46" s="98" t="s">
        <v>109</v>
      </c>
      <c r="C46" s="113">
        <f>VLOOKUP($A46,[3]Hoja1!$C$5:$BZ$72,3,FALSE)</f>
        <v>4000000</v>
      </c>
      <c r="D46" s="113">
        <f>VLOOKUP($A46,[3]Hoja1!$C$5:$BZ$72,50,FALSE)</f>
        <v>1419248.86</v>
      </c>
      <c r="E46" s="113">
        <f>VLOOKUP($A46,[3]Hoja1!$C$5:$BZ$72,51,FALSE)*$W$1</f>
        <v>6180.9273659999999</v>
      </c>
      <c r="F46" s="2">
        <f t="shared" si="0"/>
        <v>2574570.2126339995</v>
      </c>
      <c r="G46" s="114">
        <f t="shared" si="5"/>
        <v>2574570.2126339995</v>
      </c>
      <c r="H46" s="4"/>
      <c r="I46" s="4" t="str">
        <f t="shared" si="6"/>
        <v>Sit.Normal</v>
      </c>
      <c r="J46" s="3">
        <f t="shared" si="7"/>
        <v>1</v>
      </c>
      <c r="K46" s="3">
        <f t="shared" si="4"/>
        <v>1</v>
      </c>
      <c r="L46" s="4">
        <f>+IF(J46=1,Diccionario!$M$2,IF(J46=2,Diccionario!$M$3,1))</f>
        <v>1.4999999999999999E-2</v>
      </c>
      <c r="M46" s="4">
        <f>IF(J46&lt;=3,Diccionario!$O$2,IF(J46=4,Diccionario!$O$5,Diccionario!$O$6))</f>
        <v>0.66499985814979368</v>
      </c>
      <c r="N46" s="19">
        <v>0.4</v>
      </c>
      <c r="O46" s="3">
        <f>+G46*L46*M46*N46*(1+'[2]Pesos escenarios'!$F$8/2)</f>
        <v>13691.444726736425</v>
      </c>
      <c r="P46" t="s">
        <v>94</v>
      </c>
      <c r="Q46" t="str">
        <f t="shared" si="2"/>
        <v>Saldo no utilizado TC</v>
      </c>
    </row>
    <row r="47" spans="1:19" x14ac:dyDescent="0.35">
      <c r="A47">
        <v>55026</v>
      </c>
      <c r="B47" s="98" t="s">
        <v>109</v>
      </c>
      <c r="C47" s="113">
        <f>VLOOKUP($A47,[3]Hoja1!$C$5:$BZ$72,3,FALSE)</f>
        <v>1500000</v>
      </c>
      <c r="D47" s="113">
        <f>VLOOKUP($A47,[3]Hoja1!$C$5:$BZ$72,50,FALSE)</f>
        <v>364830.91</v>
      </c>
      <c r="E47" s="113">
        <f>VLOOKUP($A47,[3]Hoja1!$C$5:$BZ$72,51,FALSE)*$W$1</f>
        <v>-15376.266736</v>
      </c>
      <c r="F47" s="2">
        <f t="shared" si="0"/>
        <v>1150545.3567360002</v>
      </c>
      <c r="G47" s="114">
        <f t="shared" si="5"/>
        <v>1150545.3567360002</v>
      </c>
      <c r="H47" s="4"/>
      <c r="I47" s="4" t="str">
        <f t="shared" si="6"/>
        <v>Sit.Normal</v>
      </c>
      <c r="J47" s="3">
        <f t="shared" si="7"/>
        <v>1</v>
      </c>
      <c r="K47" s="3">
        <f t="shared" si="4"/>
        <v>1</v>
      </c>
      <c r="L47" s="4">
        <f>+IF(J47=1,Diccionario!$M$2,IF(J47=2,Diccionario!$M$3,1))</f>
        <v>1.4999999999999999E-2</v>
      </c>
      <c r="M47" s="4">
        <f>IF(J47&lt;=3,Diccionario!$O$2,IF(J47=4,Diccionario!$O$5,Diccionario!$O$6))</f>
        <v>0.66499985814979368</v>
      </c>
      <c r="N47" s="19">
        <v>0.4</v>
      </c>
      <c r="O47" s="3">
        <f>+G47*L47*M47*N47*(1+'[2]Pesos escenarios'!$F$8/2)</f>
        <v>6118.5467306552655</v>
      </c>
      <c r="P47" t="s">
        <v>94</v>
      </c>
      <c r="Q47" t="str">
        <f t="shared" si="2"/>
        <v>Saldo no utilizado TC</v>
      </c>
    </row>
    <row r="48" spans="1:19" x14ac:dyDescent="0.35">
      <c r="A48">
        <v>11623</v>
      </c>
      <c r="B48" s="98" t="s">
        <v>109</v>
      </c>
      <c r="C48" s="113">
        <f>VLOOKUP($A48,[3]Hoja1!$C$5:$BZ$72,3,FALSE)</f>
        <v>30000000</v>
      </c>
      <c r="D48" s="113">
        <f>VLOOKUP($A48,[3]Hoja1!$C$5:$BZ$72,50,FALSE)</f>
        <v>3147204.11</v>
      </c>
      <c r="E48" s="113">
        <f>VLOOKUP($A48,[3]Hoja1!$C$5:$BZ$72,51,FALSE)*$W$1</f>
        <v>3019998.3455119999</v>
      </c>
      <c r="F48" s="2">
        <f t="shared" si="0"/>
        <v>23832797.544488002</v>
      </c>
      <c r="G48" s="114">
        <f t="shared" si="5"/>
        <v>23832797.544488002</v>
      </c>
      <c r="H48" s="4"/>
      <c r="I48" s="4" t="str">
        <f t="shared" si="6"/>
        <v>Sit.Normal</v>
      </c>
      <c r="J48" s="3">
        <f t="shared" si="7"/>
        <v>1</v>
      </c>
      <c r="K48" s="3">
        <f t="shared" si="4"/>
        <v>1</v>
      </c>
      <c r="L48" s="4">
        <f>+IF(J48=1,Diccionario!$M$2,IF(J48=2,Diccionario!$M$3,1))</f>
        <v>1.4999999999999999E-2</v>
      </c>
      <c r="M48" s="4">
        <f>IF(J48&lt;=3,Diccionario!$O$2,IF(J48=4,Diccionario!$O$5,Diccionario!$O$6))</f>
        <v>0.66499985814979368</v>
      </c>
      <c r="N48" s="19">
        <v>0.4</v>
      </c>
      <c r="O48" s="3">
        <f>+G48*L48*M48*N48*(1+'[2]Pesos escenarios'!$F$8/2)</f>
        <v>126741.70961141489</v>
      </c>
      <c r="P48" t="s">
        <v>94</v>
      </c>
      <c r="Q48" t="str">
        <f t="shared" si="2"/>
        <v>Saldo no utilizado TC</v>
      </c>
    </row>
    <row r="49" spans="1:17" x14ac:dyDescent="0.35">
      <c r="A49">
        <v>54212</v>
      </c>
      <c r="B49" s="98" t="s">
        <v>109</v>
      </c>
      <c r="C49" s="113">
        <f>VLOOKUP($A49,[3]Hoja1!$C$5:$BZ$72,3,FALSE)</f>
        <v>1200000</v>
      </c>
      <c r="D49" s="113">
        <f>VLOOKUP($A49,[3]Hoja1!$C$5:$BZ$72,50,FALSE)</f>
        <v>134.31</v>
      </c>
      <c r="E49" s="113">
        <f>VLOOKUP($A49,[3]Hoja1!$C$5:$BZ$72,51,FALSE)*$W$1</f>
        <v>0</v>
      </c>
      <c r="F49" s="2">
        <f t="shared" si="0"/>
        <v>1199865.69</v>
      </c>
      <c r="G49" s="114">
        <f t="shared" si="5"/>
        <v>1199865.69</v>
      </c>
      <c r="H49" s="4"/>
      <c r="I49" s="4" t="str">
        <f t="shared" si="6"/>
        <v>Sit.Normal</v>
      </c>
      <c r="J49" s="3">
        <f t="shared" si="7"/>
        <v>1</v>
      </c>
      <c r="K49" s="3">
        <f t="shared" si="4"/>
        <v>1</v>
      </c>
      <c r="L49" s="4">
        <f>+IF(J49=1,Diccionario!$M$2,IF(J49=2,Diccionario!$M$3,1))</f>
        <v>1.4999999999999999E-2</v>
      </c>
      <c r="M49" s="4">
        <f>IF(J49&lt;=3,Diccionario!$O$2,IF(J49=4,Diccionario!$O$5,Diccionario!$O$6))</f>
        <v>0.66499985814979368</v>
      </c>
      <c r="N49" s="19">
        <v>0.4</v>
      </c>
      <c r="O49" s="3">
        <f>+G49*L49*M49*N49*(1+'[2]Pesos escenarios'!$F$8/2)</f>
        <v>6380.829970581909</v>
      </c>
      <c r="P49" t="s">
        <v>94</v>
      </c>
      <c r="Q49" t="str">
        <f t="shared" si="2"/>
        <v>Saldo no utilizado TC</v>
      </c>
    </row>
    <row r="50" spans="1:17" x14ac:dyDescent="0.35">
      <c r="A50">
        <v>58319</v>
      </c>
      <c r="B50" s="98" t="s">
        <v>109</v>
      </c>
      <c r="C50" s="113">
        <f>VLOOKUP($A50,[3]Hoja1!$C$5:$BZ$72,3,FALSE)</f>
        <v>22000</v>
      </c>
      <c r="D50" s="113">
        <f>VLOOKUP($A50,[3]Hoja1!$C$5:$BZ$72,50,FALSE)</f>
        <v>134.31</v>
      </c>
      <c r="E50" s="113">
        <f>VLOOKUP($A50,[3]Hoja1!$C$5:$BZ$72,51,FALSE)*$W$1</f>
        <v>0</v>
      </c>
      <c r="F50" s="2">
        <f t="shared" si="0"/>
        <v>21865.69</v>
      </c>
      <c r="G50" s="114">
        <f t="shared" si="5"/>
        <v>21865.69</v>
      </c>
      <c r="H50" s="4"/>
      <c r="I50" s="4" t="str">
        <f t="shared" si="6"/>
        <v>Sit.Normal</v>
      </c>
      <c r="J50" s="3">
        <f t="shared" si="7"/>
        <v>1</v>
      </c>
      <c r="K50" s="3">
        <f t="shared" si="4"/>
        <v>1</v>
      </c>
      <c r="L50" s="4">
        <f>+IF(J50=1,Diccionario!$M$2,IF(J50=2,Diccionario!$M$3,1))</f>
        <v>1.4999999999999999E-2</v>
      </c>
      <c r="M50" s="4">
        <f>IF(J50&lt;=3,Diccionario!$O$2,IF(J50=4,Diccionario!$O$5,Diccionario!$O$6))</f>
        <v>0.66499985814979368</v>
      </c>
      <c r="N50" s="19">
        <v>0.4</v>
      </c>
      <c r="O50" s="3">
        <f>+G50*L50*M50*N50*(1+'[2]Pesos escenarios'!$F$8/2)</f>
        <v>116.2807231194794</v>
      </c>
      <c r="P50" t="s">
        <v>94</v>
      </c>
      <c r="Q50" t="str">
        <f t="shared" si="2"/>
        <v>Saldo no utilizado TC</v>
      </c>
    </row>
    <row r="51" spans="1:17" x14ac:dyDescent="0.35">
      <c r="A51">
        <v>54864</v>
      </c>
      <c r="B51" s="98" t="s">
        <v>109</v>
      </c>
      <c r="C51" s="113">
        <f>VLOOKUP($A51,[3]Hoja1!$C$5:$BZ$72,3,FALSE)</f>
        <v>1200000</v>
      </c>
      <c r="D51" s="113">
        <f>VLOOKUP($A51,[3]Hoja1!$C$5:$BZ$72,50,FALSE)</f>
        <v>196718.84</v>
      </c>
      <c r="E51" s="113">
        <f>VLOOKUP($A51,[3]Hoja1!$C$5:$BZ$72,51,FALSE)*$W$1</f>
        <v>0</v>
      </c>
      <c r="F51" s="2">
        <f>+C51-D51-E51</f>
        <v>1003281.16</v>
      </c>
      <c r="G51" s="114">
        <f>IF(F51&gt;C51,C51,IF(F51&gt;0,F51,0))</f>
        <v>1003281.16</v>
      </c>
      <c r="H51" s="4"/>
      <c r="I51" s="4" t="str">
        <f t="shared" si="6"/>
        <v>Sit.Normal</v>
      </c>
      <c r="J51" s="3">
        <f t="shared" si="7"/>
        <v>1</v>
      </c>
      <c r="K51" s="3">
        <f t="shared" si="4"/>
        <v>1</v>
      </c>
      <c r="L51" s="4">
        <f>+IF(J51=1,Diccionario!$M$2,IF(J51=2,Diccionario!$M$3,1))</f>
        <v>1.4999999999999999E-2</v>
      </c>
      <c r="M51" s="4">
        <f>IF(J51&lt;=3,Diccionario!$O$2,IF(J51=4,Diccionario!$O$5,Diccionario!$O$6))</f>
        <v>0.66499985814979368</v>
      </c>
      <c r="N51" s="19">
        <v>0.4</v>
      </c>
      <c r="O51" s="3">
        <f>+G51*L51*M51*N51*(1+'[2]Pesos escenarios'!$F$8/2)</f>
        <v>5335.4025771402648</v>
      </c>
      <c r="P51" t="s">
        <v>94</v>
      </c>
      <c r="Q51" t="str">
        <f t="shared" si="2"/>
        <v>Saldo no utilizado TC</v>
      </c>
    </row>
    <row r="52" spans="1:17" x14ac:dyDescent="0.35">
      <c r="A52">
        <v>54718</v>
      </c>
      <c r="B52" s="98" t="s">
        <v>109</v>
      </c>
      <c r="C52" s="113">
        <f>VLOOKUP($A52,[3]Hoja1!$C$5:$BZ$72,3,FALSE)</f>
        <v>3000000</v>
      </c>
      <c r="D52" s="113">
        <f>VLOOKUP($A52,[3]Hoja1!$C$5:$BZ$72,50,FALSE)</f>
        <v>1979240.03</v>
      </c>
      <c r="E52" s="113">
        <f>VLOOKUP($A52,[3]Hoja1!$C$5:$BZ$72,51,FALSE)*$W$1</f>
        <v>0</v>
      </c>
      <c r="F52" s="2">
        <f t="shared" si="0"/>
        <v>1020759.97</v>
      </c>
      <c r="G52" s="114">
        <f t="shared" si="5"/>
        <v>1020759.97</v>
      </c>
      <c r="H52" s="4"/>
      <c r="I52" s="4" t="str">
        <f t="shared" si="6"/>
        <v>Sit.Normal</v>
      </c>
      <c r="J52" s="3">
        <f t="shared" si="7"/>
        <v>1</v>
      </c>
      <c r="K52" s="3">
        <f t="shared" si="4"/>
        <v>1</v>
      </c>
      <c r="L52" s="4">
        <f>+IF(J52=1,Diccionario!$M$2,IF(J52=2,Diccionario!$M$3,1))</f>
        <v>1.4999999999999999E-2</v>
      </c>
      <c r="M52" s="4">
        <f>IF(J52&lt;=3,Diccionario!$O$2,IF(J52=4,Diccionario!$O$5,Diccionario!$O$6))</f>
        <v>0.66499985814979368</v>
      </c>
      <c r="N52" s="19">
        <v>0.4</v>
      </c>
      <c r="O52" s="3">
        <f>+G52*L52*M52*N52*(1+'[2]Pesos escenarios'!$F$8/2)</f>
        <v>5428.3540763185656</v>
      </c>
      <c r="P52" t="s">
        <v>94</v>
      </c>
      <c r="Q52" t="str">
        <f t="shared" si="2"/>
        <v>Saldo no utilizado TC</v>
      </c>
    </row>
    <row r="53" spans="1:17" x14ac:dyDescent="0.35">
      <c r="A53">
        <v>54857</v>
      </c>
      <c r="B53" s="98" t="s">
        <v>109</v>
      </c>
      <c r="C53" s="113">
        <f>VLOOKUP($A53,[3]Hoja1!$C$5:$BZ$72,3,FALSE)</f>
        <v>3000000</v>
      </c>
      <c r="D53" s="113">
        <f>VLOOKUP($A53,[3]Hoja1!$C$5:$BZ$72,50,FALSE)</f>
        <v>-4268.75</v>
      </c>
      <c r="E53" s="113">
        <f>VLOOKUP($A53,[3]Hoja1!$C$5:$BZ$72,51,FALSE)*$W$1</f>
        <v>0</v>
      </c>
      <c r="F53" s="2">
        <f t="shared" si="0"/>
        <v>3004268.75</v>
      </c>
      <c r="G53" s="114">
        <f t="shared" si="5"/>
        <v>3000000</v>
      </c>
      <c r="H53" s="4"/>
      <c r="I53" s="4" t="str">
        <f t="shared" si="6"/>
        <v>Sit.Normal</v>
      </c>
      <c r="J53" s="3">
        <f t="shared" si="7"/>
        <v>1</v>
      </c>
      <c r="K53" s="3">
        <f t="shared" si="4"/>
        <v>1</v>
      </c>
      <c r="L53" s="4">
        <f>+IF(J53=1,Diccionario!$M$2,IF(J53=2,Diccionario!$M$3,1))</f>
        <v>1.4999999999999999E-2</v>
      </c>
      <c r="M53" s="4">
        <f>IF(J53&lt;=3,Diccionario!$O$2,IF(J53=4,Diccionario!$O$5,Diccionario!$O$6))</f>
        <v>0.66499985814979368</v>
      </c>
      <c r="N53" s="19">
        <v>0.4</v>
      </c>
      <c r="O53" s="3">
        <f>+G53*L53*M53*N53*(1+'[2]Pesos escenarios'!$F$8/2)</f>
        <v>15953.860562298207</v>
      </c>
      <c r="P53" t="s">
        <v>94</v>
      </c>
      <c r="Q53" t="str">
        <f t="shared" si="2"/>
        <v>Saldo no utilizado TC</v>
      </c>
    </row>
    <row r="54" spans="1:17" x14ac:dyDescent="0.35">
      <c r="A54">
        <v>58440</v>
      </c>
      <c r="B54" s="98" t="s">
        <v>109</v>
      </c>
      <c r="C54" s="113">
        <f>VLOOKUP($A54,[3]Hoja1!$C$5:$BZ$72,3,FALSE)</f>
        <v>5000000</v>
      </c>
      <c r="D54" s="113">
        <f>VLOOKUP($A54,[3]Hoja1!$C$5:$BZ$72,50,FALSE)</f>
        <v>2357939.2599999998</v>
      </c>
      <c r="E54" s="113">
        <f>VLOOKUP($A54,[3]Hoja1!$C$5:$BZ$72,51,FALSE)*$W$1</f>
        <v>41455.078844000003</v>
      </c>
      <c r="F54" s="2">
        <f t="shared" si="0"/>
        <v>2600605.6611560001</v>
      </c>
      <c r="G54" s="114">
        <f t="shared" si="5"/>
        <v>2600605.6611560001</v>
      </c>
      <c r="H54" s="4"/>
      <c r="I54" s="4" t="str">
        <f t="shared" si="6"/>
        <v>Sit.Normal</v>
      </c>
      <c r="J54" s="3">
        <f t="shared" si="7"/>
        <v>1</v>
      </c>
      <c r="K54" s="3">
        <f t="shared" si="4"/>
        <v>1</v>
      </c>
      <c r="L54" s="4">
        <f>+IF(J54=1,Diccionario!$M$2,IF(J54=2,Diccionario!$M$3,1))</f>
        <v>1.4999999999999999E-2</v>
      </c>
      <c r="M54" s="4">
        <f>IF(J54&lt;=3,Diccionario!$O$2,IF(J54=4,Diccionario!$O$5,Diccionario!$O$6))</f>
        <v>0.66499985814979368</v>
      </c>
      <c r="N54" s="19">
        <v>0.4</v>
      </c>
      <c r="O54" s="3">
        <f>+G54*L54*M54*N54*(1+'[2]Pesos escenarios'!$F$8/2)</f>
        <v>13829.900031868721</v>
      </c>
      <c r="P54" t="s">
        <v>94</v>
      </c>
      <c r="Q54" t="str">
        <f t="shared" si="2"/>
        <v>Saldo no utilizado TC</v>
      </c>
    </row>
    <row r="55" spans="1:17" x14ac:dyDescent="0.35">
      <c r="A55">
        <v>59000</v>
      </c>
      <c r="B55" s="98" t="s">
        <v>109</v>
      </c>
      <c r="C55" s="113">
        <f>VLOOKUP($A55,[3]Hoja1!$C$5:$BZ$72,3,FALSE)</f>
        <v>1600000</v>
      </c>
      <c r="D55" s="113">
        <f>VLOOKUP($A55,[3]Hoja1!$C$5:$BZ$72,50,FALSE)</f>
        <v>70536.740000000005</v>
      </c>
      <c r="E55" s="113">
        <f>VLOOKUP($A55,[3]Hoja1!$C$5:$BZ$72,51,FALSE)*$W$1</f>
        <v>5904.375806</v>
      </c>
      <c r="F55" s="2">
        <f t="shared" si="0"/>
        <v>1523558.8841939999</v>
      </c>
      <c r="G55" s="114">
        <f t="shared" si="5"/>
        <v>1523558.8841939999</v>
      </c>
      <c r="H55" s="4"/>
      <c r="I55" s="4" t="str">
        <f t="shared" si="6"/>
        <v>Sit.Normal</v>
      </c>
      <c r="J55" s="3">
        <f t="shared" si="7"/>
        <v>1</v>
      </c>
      <c r="K55" s="3">
        <f t="shared" si="4"/>
        <v>1</v>
      </c>
      <c r="L55" s="4">
        <f>+IF(J55=1,Diccionario!$M$2,IF(J55=2,Diccionario!$M$3,1))</f>
        <v>1.4999999999999999E-2</v>
      </c>
      <c r="M55" s="4">
        <f>IF(J55&lt;=3,Diccionario!$O$2,IF(J55=4,Diccionario!$O$5,Diccionario!$O$6))</f>
        <v>0.66499985814979368</v>
      </c>
      <c r="N55" s="19">
        <v>0.4</v>
      </c>
      <c r="O55" s="3">
        <f>+G55*L55*M55*N55*(1+'[2]Pesos escenarios'!$F$8/2)</f>
        <v>8102.2153322939057</v>
      </c>
      <c r="P55" t="s">
        <v>94</v>
      </c>
      <c r="Q55" t="str">
        <f t="shared" si="2"/>
        <v>Saldo no utilizado TC</v>
      </c>
    </row>
    <row r="56" spans="1:17" x14ac:dyDescent="0.35">
      <c r="A56">
        <v>59558</v>
      </c>
      <c r="B56" s="98" t="s">
        <v>109</v>
      </c>
      <c r="C56" s="113">
        <f>VLOOKUP($A56,[3]Hoja1!$C$5:$BZ$72,3,FALSE)</f>
        <v>3600000</v>
      </c>
      <c r="D56" s="113">
        <f>VLOOKUP($A56,[3]Hoja1!$C$5:$BZ$72,50,FALSE)</f>
        <v>781017.86</v>
      </c>
      <c r="E56" s="113">
        <f>VLOOKUP($A56,[3]Hoja1!$C$5:$BZ$72,51,FALSE)*$W$1</f>
        <v>31181.188390000003</v>
      </c>
      <c r="F56" s="2">
        <f t="shared" si="0"/>
        <v>2787800.9516100003</v>
      </c>
      <c r="G56" s="114">
        <f t="shared" si="5"/>
        <v>2787800.9516100003</v>
      </c>
      <c r="H56" s="4"/>
      <c r="I56" s="4" t="str">
        <f t="shared" si="6"/>
        <v>Sit.Normal</v>
      </c>
      <c r="J56" s="3">
        <f t="shared" si="7"/>
        <v>1</v>
      </c>
      <c r="K56" s="3">
        <f t="shared" si="4"/>
        <v>1</v>
      </c>
      <c r="L56" s="4">
        <f>+IF(J56=1,Diccionario!$M$2,IF(J56=2,Diccionario!$M$3,1))</f>
        <v>1.4999999999999999E-2</v>
      </c>
      <c r="M56" s="4">
        <f>IF(J56&lt;=3,Diccionario!$O$2,IF(J56=4,Diccionario!$O$5,Diccionario!$O$6))</f>
        <v>0.66499985814979368</v>
      </c>
      <c r="N56" s="19">
        <v>0.4</v>
      </c>
      <c r="O56" s="3">
        <f>+G56*L56*M56*N56*(1+'[2]Pesos escenarios'!$F$8/2)</f>
        <v>14825.395885809397</v>
      </c>
      <c r="P56" t="s">
        <v>94</v>
      </c>
      <c r="Q56" t="str">
        <f t="shared" si="2"/>
        <v>Saldo no utilizado TC</v>
      </c>
    </row>
    <row r="57" spans="1:17" x14ac:dyDescent="0.35">
      <c r="A57">
        <v>451</v>
      </c>
      <c r="B57" s="98" t="s">
        <v>109</v>
      </c>
      <c r="C57" s="113">
        <f>VLOOKUP($A57,[3]Hoja1!$C$5:$BZ$72,3,FALSE)</f>
        <v>10000000</v>
      </c>
      <c r="D57" s="113">
        <f>VLOOKUP($A57,[3]Hoja1!$C$5:$BZ$72,50,FALSE)</f>
        <v>4209961.04</v>
      </c>
      <c r="E57" s="113">
        <f>VLOOKUP($A57,[3]Hoja1!$C$5:$BZ$72,51,FALSE)*$W$1</f>
        <v>59527.723290000002</v>
      </c>
      <c r="F57" s="2">
        <f t="shared" si="0"/>
        <v>5730511.2367099999</v>
      </c>
      <c r="G57" s="114">
        <f>IF(F57&gt;C57,C57,IF(F57&gt;0,F57,0))</f>
        <v>5730511.2367099999</v>
      </c>
      <c r="H57" s="4"/>
      <c r="I57" s="4" t="str">
        <f t="shared" si="6"/>
        <v>Sit.Normal</v>
      </c>
      <c r="J57" s="3">
        <f t="shared" si="7"/>
        <v>1</v>
      </c>
      <c r="K57" s="3">
        <f t="shared" si="4"/>
        <v>1</v>
      </c>
      <c r="L57" s="4">
        <f>+IF(J57=1,Diccionario!$M$2,IF(J57=2,Diccionario!$M$3,1))</f>
        <v>1.4999999999999999E-2</v>
      </c>
      <c r="M57" s="4">
        <f>IF(J57&lt;=3,Diccionario!$O$2,IF(J57=4,Diccionario!$O$5,Diccionario!$O$6))</f>
        <v>0.66499985814979368</v>
      </c>
      <c r="N57" s="19">
        <v>0.4</v>
      </c>
      <c r="O57" s="3">
        <f>+G57*L57*M57*N57*(1+'[2]Pesos escenarios'!$F$8/2)</f>
        <v>30474.592407051459</v>
      </c>
      <c r="P57" t="s">
        <v>95</v>
      </c>
      <c r="Q57" t="str">
        <f t="shared" si="2"/>
        <v>Saldo no utilizado TC</v>
      </c>
    </row>
    <row r="58" spans="1:17" x14ac:dyDescent="0.35">
      <c r="A58">
        <v>6206</v>
      </c>
      <c r="B58" s="98" t="s">
        <v>109</v>
      </c>
      <c r="C58" s="113">
        <f>VLOOKUP($A58,[3]Hoja1!$C$5:$BZ$72,3,FALSE)</f>
        <v>800000</v>
      </c>
      <c r="D58" s="113">
        <f>VLOOKUP($A58,[3]Hoja1!$C$5:$BZ$72,50,FALSE)</f>
        <v>285223.31</v>
      </c>
      <c r="E58" s="113">
        <f>VLOOKUP($A58,[3]Hoja1!$C$5:$BZ$72,51,FALSE)*$W$1</f>
        <v>0</v>
      </c>
      <c r="F58" s="2">
        <f t="shared" si="0"/>
        <v>514776.69</v>
      </c>
      <c r="G58" s="114">
        <f t="shared" ref="G58:G62" si="8">IF(F58&gt;C58,C58,IF(F58&gt;0,F58,0))</f>
        <v>514776.69</v>
      </c>
      <c r="H58" s="4"/>
      <c r="I58" s="4" t="str">
        <f t="shared" si="6"/>
        <v>Sit.Normal</v>
      </c>
      <c r="J58" s="3">
        <f t="shared" si="7"/>
        <v>1</v>
      </c>
      <c r="K58" s="3">
        <f t="shared" si="4"/>
        <v>1</v>
      </c>
      <c r="L58" s="4">
        <f>+IF(J58=1,Diccionario!$M$2,IF(J58=2,Diccionario!$M$3,1))</f>
        <v>1.4999999999999999E-2</v>
      </c>
      <c r="M58" s="4">
        <f>IF(J58&lt;=3,Diccionario!$O$2,IF(J58=4,Diccionario!$O$5,Diccionario!$O$6))</f>
        <v>0.66499985814979368</v>
      </c>
      <c r="N58" s="19">
        <v>0.4</v>
      </c>
      <c r="O58" s="3">
        <f>+G58*L58*M58*N58*(1+'[2]Pesos escenarios'!$F$8/2)</f>
        <v>2737.5585109938029</v>
      </c>
      <c r="P58" t="s">
        <v>95</v>
      </c>
      <c r="Q58" t="str">
        <f t="shared" si="2"/>
        <v>Saldo no utilizado TC</v>
      </c>
    </row>
    <row r="59" spans="1:17" x14ac:dyDescent="0.35">
      <c r="A59">
        <v>59750</v>
      </c>
      <c r="B59" s="98" t="s">
        <v>109</v>
      </c>
      <c r="C59" s="113">
        <f>VLOOKUP($A59,[3]Hoja1!$C$5:$BZ$72,3,FALSE)</f>
        <v>13700000</v>
      </c>
      <c r="D59" s="113">
        <f>VLOOKUP($A59,[3]Hoja1!$C$5:$BZ$72,50,FALSE)</f>
        <v>7237043.2699999996</v>
      </c>
      <c r="E59" s="113">
        <f>VLOOKUP($A59,[3]Hoja1!$C$5:$BZ$72,51,FALSE)*$W$1</f>
        <v>674440.11695000005</v>
      </c>
      <c r="F59" s="2">
        <f t="shared" si="0"/>
        <v>5788516.6130500007</v>
      </c>
      <c r="G59" s="114">
        <f>IF(F59&gt;C59,C59,IF(F59&gt;0,F59,0))</f>
        <v>5788516.6130500007</v>
      </c>
      <c r="H59"/>
      <c r="I59" s="4" t="str">
        <f t="shared" si="6"/>
        <v>Sit.Normal</v>
      </c>
      <c r="J59" s="3">
        <f t="shared" si="7"/>
        <v>1</v>
      </c>
      <c r="K59" s="3">
        <f t="shared" si="4"/>
        <v>1</v>
      </c>
      <c r="L59" s="4">
        <f>+IF(J59=1,Diccionario!$M$2,IF(J59=2,Diccionario!$M$3,1))</f>
        <v>1.4999999999999999E-2</v>
      </c>
      <c r="M59" s="4">
        <f>IF(J59&lt;=3,Diccionario!$O$2,IF(J59=4,Diccionario!$O$5,Diccionario!$O$6))</f>
        <v>0.66499985814979368</v>
      </c>
      <c r="N59" s="19">
        <v>0.4</v>
      </c>
      <c r="O59" s="3">
        <f>+G59*L59*M59*N59*(1+'[2]Pesos escenarios'!$F$8/2)</f>
        <v>30783.062302382128</v>
      </c>
      <c r="P59" t="s">
        <v>95</v>
      </c>
      <c r="Q59" t="str">
        <f>+IF(ISBLANK(H59),"Saldo no utilizado TC","Saldo no utilizado ACC")</f>
        <v>Saldo no utilizado TC</v>
      </c>
    </row>
    <row r="60" spans="1:17" x14ac:dyDescent="0.35">
      <c r="A60">
        <v>85455</v>
      </c>
      <c r="B60" s="98" t="s">
        <v>109</v>
      </c>
      <c r="C60" s="113">
        <f>VLOOKUP($A60,[3]Hoja1!$C$5:$BZ$72,3,FALSE)</f>
        <v>2000000</v>
      </c>
      <c r="D60" s="113">
        <f>VLOOKUP($A60,[3]Hoja1!$C$5:$BZ$72,50,FALSE)</f>
        <v>-634892.64</v>
      </c>
      <c r="E60" s="113">
        <f>VLOOKUP($A60,[3]Hoja1!$C$5:$BZ$72,51,FALSE)*$W$1</f>
        <v>62224.101000000002</v>
      </c>
      <c r="F60" s="2">
        <f t="shared" si="0"/>
        <v>2572668.5390000003</v>
      </c>
      <c r="G60" s="114">
        <f t="shared" si="8"/>
        <v>2000000</v>
      </c>
      <c r="H60" s="4"/>
      <c r="I60" s="4" t="str">
        <f t="shared" si="6"/>
        <v>Sit.Normal</v>
      </c>
      <c r="J60" s="3">
        <f t="shared" si="7"/>
        <v>1</v>
      </c>
      <c r="K60" s="3">
        <f t="shared" si="4"/>
        <v>1</v>
      </c>
      <c r="L60" s="4">
        <f>+IF(J60=1,Diccionario!$M$2,IF(J60=2,Diccionario!$M$3,1))</f>
        <v>1.4999999999999999E-2</v>
      </c>
      <c r="M60" s="4">
        <f>IF(J60&lt;=3,Diccionario!$O$2,IF(J60=4,Diccionario!$O$5,Diccionario!$O$6))</f>
        <v>0.66499985814979368</v>
      </c>
      <c r="N60" s="19">
        <v>0.4</v>
      </c>
      <c r="O60" s="3">
        <f>+G60*L60*M60*N60*(1+'[2]Pesos escenarios'!$F$8/2)</f>
        <v>10635.907041532138</v>
      </c>
      <c r="P60" t="s">
        <v>95</v>
      </c>
      <c r="Q60" t="str">
        <f t="shared" si="2"/>
        <v>Saldo no utilizado TC</v>
      </c>
    </row>
    <row r="61" spans="1:17" x14ac:dyDescent="0.35">
      <c r="A61">
        <v>1645</v>
      </c>
      <c r="B61" s="98" t="s">
        <v>109</v>
      </c>
      <c r="C61" s="113">
        <f>VLOOKUP($A61,[3]Hoja1!$C$5:$BZ$72,3,FALSE)</f>
        <v>3000000</v>
      </c>
      <c r="D61" s="113">
        <f>VLOOKUP($A61,[3]Hoja1!$C$5:$BZ$72,50,FALSE)</f>
        <v>2050268.8</v>
      </c>
      <c r="E61" s="113">
        <f>VLOOKUP($A61,[3]Hoja1!$C$5:$BZ$72,51,FALSE)*$W$1</f>
        <v>0</v>
      </c>
      <c r="F61" s="2">
        <f t="shared" si="0"/>
        <v>949731.2</v>
      </c>
      <c r="G61" s="114">
        <f t="shared" si="8"/>
        <v>949731.2</v>
      </c>
      <c r="H61" s="4"/>
      <c r="I61" s="4" t="str">
        <f t="shared" si="6"/>
        <v>Sit.Normal</v>
      </c>
      <c r="J61" s="3">
        <f t="shared" si="7"/>
        <v>1</v>
      </c>
      <c r="K61" s="3">
        <f t="shared" si="4"/>
        <v>1</v>
      </c>
      <c r="L61" s="4">
        <f>+IF(J61=1,Diccionario!$M$2,IF(J61=2,Diccionario!$M$3,1))</f>
        <v>1.4999999999999999E-2</v>
      </c>
      <c r="M61" s="4">
        <f>IF(J61&lt;=3,Diccionario!$O$2,IF(J61=4,Diccionario!$O$5,Diccionario!$O$6))</f>
        <v>0.66499985814979368</v>
      </c>
      <c r="N61" s="19">
        <v>0.4</v>
      </c>
      <c r="O61" s="3">
        <f>+G61*L61*M61*N61*(1+'[2]Pesos escenarios'!$F$8/2)</f>
        <v>5050.6263788213828</v>
      </c>
      <c r="P61" t="s">
        <v>95</v>
      </c>
      <c r="Q61" t="str">
        <f t="shared" si="2"/>
        <v>Saldo no utilizado TC</v>
      </c>
    </row>
    <row r="62" spans="1:17" x14ac:dyDescent="0.35">
      <c r="A62">
        <v>58781</v>
      </c>
      <c r="B62" s="98" t="s">
        <v>109</v>
      </c>
      <c r="C62" s="113">
        <f>VLOOKUP($A62,[3]Hoja1!$C$5:$BZ$72,3,FALSE)</f>
        <v>1500000</v>
      </c>
      <c r="D62" s="113">
        <f>VLOOKUP($A62,[3]Hoja1!$C$5:$BZ$72,50,FALSE)</f>
        <v>206376.71</v>
      </c>
      <c r="E62" s="113">
        <f>VLOOKUP($A62,[3]Hoja1!$C$5:$BZ$72,51,FALSE)*$W$1</f>
        <v>234930.55022000003</v>
      </c>
      <c r="F62" s="2">
        <f>+C62-D62-E62</f>
        <v>1058692.7397799999</v>
      </c>
      <c r="G62" s="114">
        <f t="shared" si="8"/>
        <v>1058692.7397799999</v>
      </c>
      <c r="H62" s="4"/>
      <c r="I62" s="4" t="str">
        <f t="shared" si="6"/>
        <v>Sit.Normal</v>
      </c>
      <c r="J62" s="3">
        <f t="shared" ref="J62" si="9">IF(I62="Sit.Normal","1",IF(I62="Riesgo Potencia","2",IF(I62="Con problemas","3",IF(I62="Alto Riesgo","4",IF(I62="Irrecuperable","5",IF(I62="Irrec Disp Tecn","6",0))))))*1</f>
        <v>1</v>
      </c>
      <c r="K62" s="3">
        <f t="shared" si="4"/>
        <v>1</v>
      </c>
      <c r="L62" s="4">
        <f>+IF(J62=1,Diccionario!$M$2,IF(J62=2,Diccionario!$M$3,1))</f>
        <v>1.4999999999999999E-2</v>
      </c>
      <c r="M62" s="4">
        <f>IF(J62&lt;=3,Diccionario!$O$2,IF(J62=4,Diccionario!$O$5,Diccionario!$O$6))</f>
        <v>0.66499985814979368</v>
      </c>
      <c r="N62" s="19">
        <v>0.4</v>
      </c>
      <c r="O62" s="3">
        <f>+G62*L62*M62*N62*(1+'[2]Pesos escenarios'!$F$8/2)</f>
        <v>5630.0787829225264</v>
      </c>
      <c r="P62" t="s">
        <v>95</v>
      </c>
      <c r="Q62" t="str">
        <f t="shared" si="2"/>
        <v>Saldo no utilizado TC</v>
      </c>
    </row>
    <row r="63" spans="1:17" x14ac:dyDescent="0.35">
      <c r="A63">
        <v>6206</v>
      </c>
      <c r="B63" s="98" t="s">
        <v>109</v>
      </c>
      <c r="C63" s="113"/>
      <c r="F63" s="12"/>
      <c r="G63" s="114">
        <v>2977517.2</v>
      </c>
      <c r="H63">
        <v>711084004</v>
      </c>
      <c r="I63" s="4" t="str">
        <f t="shared" si="6"/>
        <v>Sit.Normal</v>
      </c>
      <c r="J63" s="3">
        <f t="shared" ref="J63" si="10">IF(I63="Sit.Normal","1",IF(I63="Riesgo Potencia","2",IF(I63="Con problemas","3",IF(I63="Alto Riesgo","4",IF(I63="Irrecuperable","5",IF(I63="Irrec Disp Tecn","6",0))))))*1</f>
        <v>1</v>
      </c>
      <c r="K63" s="3">
        <f t="shared" ref="K63" si="11">+IF(J63&lt;=1,1,IF(J63=2,2,3))</f>
        <v>1</v>
      </c>
      <c r="L63" s="4">
        <f>+IF(J63=1,Diccionario!$M$2,IF(J63=2,Diccionario!$M$3,1))</f>
        <v>1.4999999999999999E-2</v>
      </c>
      <c r="M63" s="4">
        <f>IF(J63&lt;=3,Diccionario!$O$2,IF(J63=4,Diccionario!$O$5,Diccionario!$O$6))</f>
        <v>0.66499985814979368</v>
      </c>
      <c r="N63" s="19">
        <v>0.4</v>
      </c>
      <c r="O63" s="3">
        <f>+G63*L63*M63*N63*(1+'[2]Pesos escenarios'!$F$8/2)</f>
        <v>15834.298076881527</v>
      </c>
      <c r="P63" t="s">
        <v>95</v>
      </c>
      <c r="Q63" t="s">
        <v>40</v>
      </c>
    </row>
    <row r="64" spans="1:17" x14ac:dyDescent="0.35">
      <c r="A64">
        <v>85455</v>
      </c>
      <c r="B64" s="98" t="s">
        <v>109</v>
      </c>
      <c r="C64" s="17"/>
      <c r="F64" s="12"/>
      <c r="G64" s="114">
        <v>7896543.9000000004</v>
      </c>
      <c r="H64">
        <v>711084004</v>
      </c>
      <c r="I64" s="4" t="str">
        <f t="shared" ref="I64" si="12">+TRIM(B64)</f>
        <v>Sit.Normal</v>
      </c>
      <c r="J64" s="3">
        <f t="shared" ref="J64" si="13">IF(I64="Sit.Normal","1",IF(I64="Riesgo Potencia","2",IF(I64="Con problemas","3",IF(I64="Alto Riesgo","4",IF(I64="Irrecuperable","5",IF(I64="Irrec Disp Tecn","6",0))))))*1</f>
        <v>1</v>
      </c>
      <c r="K64" s="3">
        <f t="shared" ref="K64" si="14">+IF(J64&lt;=1,1,IF(J64=2,2,3))</f>
        <v>1</v>
      </c>
      <c r="L64" s="4">
        <f>+IF(J64=1,Diccionario!$M$2,IF(J64=2,Diccionario!$M$3,1))</f>
        <v>1.4999999999999999E-2</v>
      </c>
      <c r="M64" s="4">
        <f>IF(J64&lt;=3,Diccionario!$O$2,IF(J64=4,Diccionario!$O$5,Diccionario!$O$6))</f>
        <v>0.66499985814979368</v>
      </c>
      <c r="N64" s="19">
        <v>0.4</v>
      </c>
      <c r="O64" s="3">
        <f>+G64*L64*M64*N64*(1+'[2]Pesos escenarios'!$F$8/2)</f>
        <v>41993.453434888826</v>
      </c>
      <c r="P64" t="s">
        <v>95</v>
      </c>
      <c r="Q64" t="s">
        <v>40</v>
      </c>
    </row>
    <row r="65" spans="1:17" x14ac:dyDescent="0.35">
      <c r="A65">
        <v>59750</v>
      </c>
      <c r="B65" s="98" t="s">
        <v>109</v>
      </c>
      <c r="C65" s="113"/>
      <c r="G65" s="114">
        <v>652544.85</v>
      </c>
      <c r="H65">
        <v>711084004</v>
      </c>
      <c r="I65" s="4" t="str">
        <f t="shared" ref="I65" si="15">+TRIM(B65)</f>
        <v>Sit.Normal</v>
      </c>
      <c r="J65" s="3">
        <f t="shared" ref="J65" si="16">IF(I65="Sit.Normal","1",IF(I65="Riesgo Potencia","2",IF(I65="Con problemas","3",IF(I65="Alto Riesgo","4",IF(I65="Irrecuperable","5",IF(I65="Irrec Disp Tecn","6",0))))))*1</f>
        <v>1</v>
      </c>
      <c r="K65" s="3">
        <f t="shared" ref="K65" si="17">+IF(J65&lt;=1,1,IF(J65=2,2,3))</f>
        <v>1</v>
      </c>
      <c r="L65" s="4">
        <f>+IF(J65=1,Diccionario!$M$2,IF(J65=2,Diccionario!$M$3,1))</f>
        <v>1.4999999999999999E-2</v>
      </c>
      <c r="M65" s="4">
        <f>IF(J65&lt;=3,Diccionario!$O$2,IF(J65=4,Diccionario!$O$5,Diccionario!$O$6))</f>
        <v>0.66499985814979368</v>
      </c>
      <c r="N65" s="19">
        <v>1.4</v>
      </c>
      <c r="O65" s="3">
        <f>+G65*L65*M65*N65*(1+'[2]Pesos escenarios'!$F$8/2)</f>
        <v>12145.71113880343</v>
      </c>
      <c r="P65" t="s">
        <v>95</v>
      </c>
      <c r="Q65" t="s">
        <v>40</v>
      </c>
    </row>
    <row r="68" spans="1:17" x14ac:dyDescent="0.35">
      <c r="Q68" s="6"/>
    </row>
    <row r="70" spans="1:17" s="12" customFormat="1" x14ac:dyDescent="0.35">
      <c r="A70"/>
      <c r="B70"/>
      <c r="C70"/>
      <c r="D70" s="2"/>
      <c r="E70" s="2"/>
      <c r="F70"/>
      <c r="L70"/>
      <c r="M70"/>
      <c r="N70"/>
      <c r="O70"/>
    </row>
  </sheetData>
  <autoFilter ref="A1:Q65" xr:uid="{00000000-0001-0000-0300-000000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R1026"/>
  <sheetViews>
    <sheetView topLeftCell="A44" zoomScale="80" zoomScaleNormal="80" workbookViewId="0">
      <selection activeCell="N11" sqref="N11"/>
    </sheetView>
  </sheetViews>
  <sheetFormatPr baseColWidth="10" defaultColWidth="11.453125" defaultRowHeight="14.5" x14ac:dyDescent="0.35"/>
  <cols>
    <col min="2" max="2" width="9.453125" bestFit="1" customWidth="1"/>
    <col min="3" max="3" width="11.54296875" customWidth="1"/>
    <col min="4" max="4" width="25.1796875" bestFit="1" customWidth="1"/>
    <col min="5" max="5" width="62" bestFit="1" customWidth="1"/>
    <col min="6" max="6" width="22" bestFit="1" customWidth="1"/>
    <col min="9" max="9" width="15.1796875" bestFit="1" customWidth="1"/>
    <col min="10" max="10" width="38" bestFit="1" customWidth="1"/>
    <col min="11" max="11" width="16.1796875" bestFit="1" customWidth="1"/>
    <col min="12" max="12" width="14.26953125" customWidth="1"/>
    <col min="15" max="15" width="14.54296875" customWidth="1"/>
    <col min="16" max="16" width="14.1796875" customWidth="1"/>
    <col min="17" max="17" width="16.54296875" customWidth="1"/>
  </cols>
  <sheetData>
    <row r="1" spans="2:18" ht="15" thickBot="1" x14ac:dyDescent="0.4">
      <c r="B1" t="s">
        <v>124</v>
      </c>
      <c r="C1" t="s">
        <v>98</v>
      </c>
      <c r="E1" t="s">
        <v>99</v>
      </c>
      <c r="I1" s="46" t="s">
        <v>125</v>
      </c>
      <c r="J1" s="46" t="s">
        <v>126</v>
      </c>
      <c r="M1" s="125" t="s">
        <v>79</v>
      </c>
      <c r="N1" s="125"/>
      <c r="O1" s="125" t="s">
        <v>86</v>
      </c>
    </row>
    <row r="2" spans="2:18" x14ac:dyDescent="0.35">
      <c r="B2" s="47" t="s">
        <v>127</v>
      </c>
      <c r="C2" s="7">
        <v>131709001</v>
      </c>
      <c r="D2" s="7">
        <v>131709</v>
      </c>
      <c r="E2" t="s">
        <v>43</v>
      </c>
      <c r="I2" s="48" t="s">
        <v>109</v>
      </c>
      <c r="J2" s="49">
        <v>1</v>
      </c>
      <c r="K2" s="50"/>
      <c r="L2" s="51" t="s">
        <v>109</v>
      </c>
      <c r="M2" s="96">
        <f>MAX([4]Resumen!$D$11,R2)</f>
        <v>1.4999999999999999E-2</v>
      </c>
      <c r="N2" s="57"/>
      <c r="O2" s="96">
        <f>[4]Resumen!$B$21</f>
        <v>0.66499985814979368</v>
      </c>
      <c r="P2" s="138"/>
      <c r="Q2" t="s">
        <v>128</v>
      </c>
      <c r="R2" s="126">
        <v>1.4999999999999999E-2</v>
      </c>
    </row>
    <row r="3" spans="2:18" x14ac:dyDescent="0.35">
      <c r="B3" s="47" t="s">
        <v>127</v>
      </c>
      <c r="C3" s="7">
        <v>131709002</v>
      </c>
      <c r="D3" s="7">
        <v>131709</v>
      </c>
      <c r="E3" t="s">
        <v>43</v>
      </c>
      <c r="I3" s="53" t="s">
        <v>129</v>
      </c>
      <c r="J3" s="54">
        <v>2</v>
      </c>
      <c r="K3" s="55"/>
      <c r="L3" s="56" t="s">
        <v>129</v>
      </c>
      <c r="M3" s="97">
        <f>[4]Resumen!$D$12</f>
        <v>4.1599564264279444E-2</v>
      </c>
      <c r="N3" s="57"/>
      <c r="O3" s="57"/>
      <c r="P3" s="138"/>
    </row>
    <row r="4" spans="2:18" ht="15" thickBot="1" x14ac:dyDescent="0.4">
      <c r="B4" s="47" t="s">
        <v>127</v>
      </c>
      <c r="C4" s="7">
        <v>131711001</v>
      </c>
      <c r="D4" s="7">
        <v>131711</v>
      </c>
      <c r="E4" t="s">
        <v>130</v>
      </c>
      <c r="I4" s="53" t="s">
        <v>131</v>
      </c>
      <c r="J4" s="54">
        <v>3</v>
      </c>
      <c r="K4" s="55"/>
      <c r="L4" s="56" t="s">
        <v>131</v>
      </c>
      <c r="M4" s="57">
        <v>1</v>
      </c>
      <c r="N4" s="57"/>
      <c r="O4" s="25"/>
      <c r="P4" s="138"/>
      <c r="R4" s="118"/>
    </row>
    <row r="5" spans="2:18" ht="15" thickBot="1" x14ac:dyDescent="0.4">
      <c r="B5" s="47" t="s">
        <v>127</v>
      </c>
      <c r="C5" s="7">
        <v>131714001</v>
      </c>
      <c r="D5" s="7">
        <v>131714</v>
      </c>
      <c r="E5" t="s">
        <v>132</v>
      </c>
      <c r="I5" s="53" t="s">
        <v>123</v>
      </c>
      <c r="J5" s="54">
        <v>4</v>
      </c>
      <c r="K5" s="55"/>
      <c r="L5" s="56" t="s">
        <v>123</v>
      </c>
      <c r="M5" s="57">
        <v>1</v>
      </c>
      <c r="N5" s="57"/>
      <c r="O5" s="96">
        <f>[4]Resumen!$B$22</f>
        <v>0.92250106026350687</v>
      </c>
      <c r="P5" s="138"/>
    </row>
    <row r="6" spans="2:18" x14ac:dyDescent="0.35">
      <c r="B6" s="47" t="s">
        <v>127</v>
      </c>
      <c r="C6" s="7">
        <v>131715001</v>
      </c>
      <c r="D6" s="7">
        <v>131715</v>
      </c>
      <c r="E6" t="s">
        <v>42</v>
      </c>
      <c r="I6" s="53" t="s">
        <v>133</v>
      </c>
      <c r="J6" s="54">
        <v>5</v>
      </c>
      <c r="K6" s="55"/>
      <c r="L6" s="56" t="s">
        <v>133</v>
      </c>
      <c r="M6" s="57">
        <v>1</v>
      </c>
      <c r="N6" s="57"/>
      <c r="O6" s="96">
        <f>[4]Resumen!$B$23</f>
        <v>0.98633635284151844</v>
      </c>
      <c r="P6" s="138"/>
    </row>
    <row r="7" spans="2:18" ht="15" thickBot="1" x14ac:dyDescent="0.4">
      <c r="B7" s="47" t="s">
        <v>127</v>
      </c>
      <c r="C7" s="58">
        <v>131718001</v>
      </c>
      <c r="D7" s="58">
        <v>131718</v>
      </c>
      <c r="E7" t="s">
        <v>44</v>
      </c>
      <c r="I7" s="59" t="s">
        <v>134</v>
      </c>
      <c r="J7" s="60">
        <v>6</v>
      </c>
      <c r="K7" s="61"/>
      <c r="L7" s="62" t="s">
        <v>134</v>
      </c>
      <c r="M7" s="25">
        <v>1</v>
      </c>
      <c r="N7" s="25"/>
      <c r="O7" s="25">
        <v>1</v>
      </c>
      <c r="Q7" s="118"/>
    </row>
    <row r="8" spans="2:18" x14ac:dyDescent="0.35">
      <c r="B8" s="47" t="s">
        <v>127</v>
      </c>
      <c r="C8" s="7">
        <v>131731003</v>
      </c>
      <c r="D8" s="7">
        <v>131731</v>
      </c>
      <c r="E8" t="s">
        <v>41</v>
      </c>
    </row>
    <row r="9" spans="2:18" x14ac:dyDescent="0.35">
      <c r="B9" s="47" t="s">
        <v>127</v>
      </c>
      <c r="C9" s="7">
        <v>131731051</v>
      </c>
      <c r="D9" s="7">
        <v>131731</v>
      </c>
      <c r="E9" t="s">
        <v>41</v>
      </c>
    </row>
    <row r="10" spans="2:18" ht="15" thickBot="1" x14ac:dyDescent="0.4">
      <c r="B10" s="47" t="s">
        <v>127</v>
      </c>
      <c r="C10" s="7">
        <v>131742001</v>
      </c>
      <c r="D10" s="7">
        <v>131742</v>
      </c>
      <c r="E10" t="s">
        <v>39</v>
      </c>
      <c r="F10" t="s">
        <v>135</v>
      </c>
    </row>
    <row r="11" spans="2:18" x14ac:dyDescent="0.35">
      <c r="B11" s="47" t="s">
        <v>127</v>
      </c>
      <c r="C11" s="7">
        <v>131742008</v>
      </c>
      <c r="D11" s="7">
        <v>131742</v>
      </c>
      <c r="E11" t="s">
        <v>39</v>
      </c>
      <c r="F11" t="s">
        <v>135</v>
      </c>
      <c r="G11" s="130" t="s">
        <v>136</v>
      </c>
      <c r="J11" s="52" t="s">
        <v>90</v>
      </c>
      <c r="K11" s="63" t="s">
        <v>137</v>
      </c>
      <c r="M11" t="s">
        <v>138</v>
      </c>
      <c r="O11">
        <v>0</v>
      </c>
    </row>
    <row r="12" spans="2:18" x14ac:dyDescent="0.35">
      <c r="B12" s="47" t="s">
        <v>127</v>
      </c>
      <c r="C12" s="7">
        <v>131791002</v>
      </c>
      <c r="D12" s="7">
        <v>131791</v>
      </c>
      <c r="E12" t="s">
        <v>139</v>
      </c>
      <c r="J12" s="64" t="s">
        <v>43</v>
      </c>
      <c r="K12" s="65" t="s">
        <v>140</v>
      </c>
      <c r="M12" t="s">
        <v>141</v>
      </c>
      <c r="O12">
        <v>0</v>
      </c>
    </row>
    <row r="13" spans="2:18" x14ac:dyDescent="0.35">
      <c r="B13" s="47" t="s">
        <v>127</v>
      </c>
      <c r="C13" s="7">
        <v>135742001</v>
      </c>
      <c r="D13" s="7">
        <v>135742</v>
      </c>
      <c r="E13" t="s">
        <v>39</v>
      </c>
      <c r="J13" s="64" t="s">
        <v>130</v>
      </c>
      <c r="K13" s="65" t="s">
        <v>142</v>
      </c>
      <c r="M13" t="s">
        <v>143</v>
      </c>
      <c r="O13">
        <v>0</v>
      </c>
    </row>
    <row r="14" spans="2:18" x14ac:dyDescent="0.35">
      <c r="B14" s="47" t="s">
        <v>127</v>
      </c>
      <c r="C14" s="7">
        <v>141154001</v>
      </c>
      <c r="D14" s="7">
        <v>141154</v>
      </c>
      <c r="E14" t="s">
        <v>144</v>
      </c>
      <c r="J14" s="64" t="s">
        <v>132</v>
      </c>
      <c r="K14" s="65" t="s">
        <v>142</v>
      </c>
    </row>
    <row r="15" spans="2:18" x14ac:dyDescent="0.35">
      <c r="B15" s="47" t="s">
        <v>127</v>
      </c>
      <c r="C15" s="7">
        <v>711046005</v>
      </c>
      <c r="D15" s="7">
        <v>711046</v>
      </c>
      <c r="E15" t="s">
        <v>145</v>
      </c>
      <c r="J15" s="64" t="s">
        <v>146</v>
      </c>
      <c r="K15" s="65" t="s">
        <v>142</v>
      </c>
    </row>
    <row r="16" spans="2:18" x14ac:dyDescent="0.35">
      <c r="B16" s="47" t="s">
        <v>127</v>
      </c>
      <c r="C16" s="7">
        <v>711046008</v>
      </c>
      <c r="D16" s="7">
        <v>711046</v>
      </c>
      <c r="E16" t="s">
        <v>145</v>
      </c>
      <c r="J16" s="64" t="s">
        <v>41</v>
      </c>
      <c r="K16" s="65" t="s">
        <v>142</v>
      </c>
    </row>
    <row r="17" spans="2:11" x14ac:dyDescent="0.35">
      <c r="B17" s="47" t="s">
        <v>127</v>
      </c>
      <c r="C17" s="7">
        <v>711046013</v>
      </c>
      <c r="D17" s="7">
        <v>711046</v>
      </c>
      <c r="E17" t="s">
        <v>145</v>
      </c>
      <c r="J17" s="64" t="s">
        <v>147</v>
      </c>
      <c r="K17" s="65" t="s">
        <v>140</v>
      </c>
    </row>
    <row r="18" spans="2:11" x14ac:dyDescent="0.35">
      <c r="B18" s="47" t="s">
        <v>127</v>
      </c>
      <c r="C18" s="7">
        <v>711046023</v>
      </c>
      <c r="D18" s="7">
        <v>711046</v>
      </c>
      <c r="E18" t="s">
        <v>145</v>
      </c>
      <c r="J18" s="64" t="s">
        <v>139</v>
      </c>
      <c r="K18" s="65" t="s">
        <v>142</v>
      </c>
    </row>
    <row r="19" spans="2:11" x14ac:dyDescent="0.35">
      <c r="B19" s="47" t="s">
        <v>127</v>
      </c>
      <c r="C19" s="7">
        <v>711084003</v>
      </c>
      <c r="D19" s="7">
        <v>711084</v>
      </c>
      <c r="E19" t="s">
        <v>148</v>
      </c>
      <c r="J19" s="64" t="s">
        <v>149</v>
      </c>
      <c r="K19" s="65" t="s">
        <v>142</v>
      </c>
    </row>
    <row r="20" spans="2:11" x14ac:dyDescent="0.35">
      <c r="B20" s="47" t="s">
        <v>127</v>
      </c>
      <c r="C20" s="7">
        <v>711084004</v>
      </c>
      <c r="D20" s="7">
        <v>711084</v>
      </c>
      <c r="E20" t="s">
        <v>148</v>
      </c>
      <c r="J20" s="64" t="s">
        <v>150</v>
      </c>
      <c r="K20" s="65" t="s">
        <v>142</v>
      </c>
    </row>
    <row r="21" spans="2:11" x14ac:dyDescent="0.35">
      <c r="C21" s="7">
        <v>131140001</v>
      </c>
      <c r="D21" s="58">
        <v>131140</v>
      </c>
      <c r="E21" t="s">
        <v>151</v>
      </c>
      <c r="J21" s="64" t="s">
        <v>145</v>
      </c>
      <c r="K21" s="65" t="s">
        <v>142</v>
      </c>
    </row>
    <row r="22" spans="2:11" ht="15" thickBot="1" x14ac:dyDescent="0.4">
      <c r="C22" s="7">
        <v>131194001</v>
      </c>
      <c r="D22">
        <v>131194</v>
      </c>
      <c r="E22" t="s">
        <v>152</v>
      </c>
      <c r="J22" s="66" t="s">
        <v>148</v>
      </c>
      <c r="K22" s="34" t="s">
        <v>142</v>
      </c>
    </row>
    <row r="23" spans="2:11" x14ac:dyDescent="0.35">
      <c r="C23" s="7">
        <v>131213001</v>
      </c>
      <c r="D23">
        <v>131213</v>
      </c>
      <c r="E23" t="s">
        <v>153</v>
      </c>
    </row>
    <row r="24" spans="2:11" x14ac:dyDescent="0.35">
      <c r="B24" s="47"/>
      <c r="C24" s="7">
        <v>131263001</v>
      </c>
      <c r="D24">
        <v>131263</v>
      </c>
      <c r="E24" t="s">
        <v>154</v>
      </c>
    </row>
    <row r="25" spans="2:11" x14ac:dyDescent="0.35">
      <c r="C25" s="7">
        <v>131442001</v>
      </c>
      <c r="D25">
        <v>131442</v>
      </c>
      <c r="E25" t="s">
        <v>101</v>
      </c>
    </row>
    <row r="26" spans="2:11" x14ac:dyDescent="0.35">
      <c r="C26" s="7">
        <v>131711050</v>
      </c>
      <c r="D26">
        <v>131711</v>
      </c>
      <c r="E26" t="s">
        <v>155</v>
      </c>
    </row>
    <row r="27" spans="2:11" x14ac:dyDescent="0.35">
      <c r="C27" s="7">
        <v>131712001</v>
      </c>
      <c r="D27">
        <v>131712</v>
      </c>
      <c r="E27" t="s">
        <v>43</v>
      </c>
    </row>
    <row r="28" spans="2:11" x14ac:dyDescent="0.35">
      <c r="C28" s="7">
        <v>131714050</v>
      </c>
      <c r="D28">
        <v>131714</v>
      </c>
      <c r="E28" t="s">
        <v>156</v>
      </c>
    </row>
    <row r="29" spans="2:11" x14ac:dyDescent="0.35">
      <c r="C29" s="7">
        <v>131715050</v>
      </c>
      <c r="D29">
        <v>131715</v>
      </c>
      <c r="E29" t="s">
        <v>146</v>
      </c>
    </row>
    <row r="30" spans="2:11" x14ac:dyDescent="0.35">
      <c r="C30" s="7">
        <v>131741001</v>
      </c>
      <c r="D30">
        <v>131741</v>
      </c>
      <c r="E30" t="s">
        <v>157</v>
      </c>
    </row>
    <row r="31" spans="2:11" x14ac:dyDescent="0.35">
      <c r="C31" s="7">
        <v>131741003</v>
      </c>
      <c r="D31">
        <v>131741</v>
      </c>
      <c r="E31" t="s">
        <v>157</v>
      </c>
    </row>
    <row r="32" spans="2:11" x14ac:dyDescent="0.35">
      <c r="C32" s="7">
        <v>131741006</v>
      </c>
      <c r="D32">
        <v>131741</v>
      </c>
      <c r="E32" t="s">
        <v>157</v>
      </c>
    </row>
    <row r="33" spans="3:5" x14ac:dyDescent="0.35">
      <c r="C33" s="7">
        <v>131742007</v>
      </c>
      <c r="D33">
        <v>131742</v>
      </c>
      <c r="E33" t="s">
        <v>39</v>
      </c>
    </row>
    <row r="34" spans="3:5" x14ac:dyDescent="0.35">
      <c r="C34" s="7">
        <v>131791001</v>
      </c>
      <c r="D34">
        <v>131791</v>
      </c>
      <c r="E34" t="s">
        <v>158</v>
      </c>
    </row>
    <row r="35" spans="3:5" x14ac:dyDescent="0.35">
      <c r="C35" s="7">
        <v>131792001</v>
      </c>
      <c r="D35">
        <v>131792</v>
      </c>
      <c r="E35" t="s">
        <v>149</v>
      </c>
    </row>
    <row r="36" spans="3:5" x14ac:dyDescent="0.35">
      <c r="C36" s="7">
        <v>131792003</v>
      </c>
      <c r="D36">
        <v>131792</v>
      </c>
      <c r="E36" t="s">
        <v>149</v>
      </c>
    </row>
    <row r="37" spans="3:5" x14ac:dyDescent="0.35">
      <c r="C37" s="7">
        <v>135442001</v>
      </c>
      <c r="D37">
        <v>135442</v>
      </c>
      <c r="E37" t="s">
        <v>101</v>
      </c>
    </row>
    <row r="38" spans="3:5" x14ac:dyDescent="0.35">
      <c r="C38" s="7">
        <v>135442002</v>
      </c>
      <c r="D38">
        <v>135442</v>
      </c>
      <c r="E38" t="s">
        <v>101</v>
      </c>
    </row>
    <row r="39" spans="3:5" x14ac:dyDescent="0.35">
      <c r="C39" s="7">
        <v>135711001</v>
      </c>
      <c r="D39">
        <v>135711</v>
      </c>
      <c r="E39" t="s">
        <v>159</v>
      </c>
    </row>
    <row r="40" spans="3:5" x14ac:dyDescent="0.35">
      <c r="C40" s="7">
        <v>135714001</v>
      </c>
      <c r="D40">
        <v>135714</v>
      </c>
      <c r="E40" t="s">
        <v>160</v>
      </c>
    </row>
    <row r="41" spans="3:5" x14ac:dyDescent="0.35">
      <c r="C41" s="7">
        <v>135715001</v>
      </c>
      <c r="D41">
        <v>135715</v>
      </c>
      <c r="E41" t="s">
        <v>146</v>
      </c>
    </row>
    <row r="42" spans="3:5" x14ac:dyDescent="0.35">
      <c r="C42" s="7">
        <v>135715050</v>
      </c>
      <c r="D42">
        <v>135715</v>
      </c>
      <c r="E42" t="s">
        <v>146</v>
      </c>
    </row>
    <row r="43" spans="3:5" x14ac:dyDescent="0.35">
      <c r="C43" s="7">
        <v>135741007</v>
      </c>
      <c r="D43">
        <v>135741</v>
      </c>
      <c r="E43" t="s">
        <v>45</v>
      </c>
    </row>
    <row r="44" spans="3:5" x14ac:dyDescent="0.35">
      <c r="C44" s="7">
        <v>135742007</v>
      </c>
      <c r="D44">
        <v>135742</v>
      </c>
      <c r="E44" t="s">
        <v>39</v>
      </c>
    </row>
    <row r="45" spans="3:5" x14ac:dyDescent="0.35">
      <c r="C45" s="7">
        <v>141106009</v>
      </c>
      <c r="D45">
        <v>141106</v>
      </c>
      <c r="E45" t="s">
        <v>161</v>
      </c>
    </row>
    <row r="46" spans="3:5" x14ac:dyDescent="0.35">
      <c r="C46" s="7">
        <v>146139098</v>
      </c>
      <c r="D46">
        <v>146139</v>
      </c>
      <c r="E46" t="s">
        <v>162</v>
      </c>
    </row>
    <row r="47" spans="3:5" x14ac:dyDescent="0.35">
      <c r="C47" s="7">
        <v>146139099</v>
      </c>
      <c r="D47">
        <v>146139</v>
      </c>
      <c r="E47" t="s">
        <v>162</v>
      </c>
    </row>
    <row r="48" spans="3:5" x14ac:dyDescent="0.35">
      <c r="C48" s="7">
        <v>151003008</v>
      </c>
      <c r="D48">
        <v>151003</v>
      </c>
      <c r="E48" t="s">
        <v>163</v>
      </c>
    </row>
    <row r="49" spans="2:6" x14ac:dyDescent="0.35">
      <c r="C49" s="7">
        <v>151003009</v>
      </c>
      <c r="D49">
        <v>151003</v>
      </c>
      <c r="E49" t="s">
        <v>163</v>
      </c>
    </row>
    <row r="50" spans="2:6" x14ac:dyDescent="0.35">
      <c r="B50" s="47"/>
      <c r="C50" s="7">
        <v>151009009</v>
      </c>
      <c r="D50">
        <v>151009</v>
      </c>
      <c r="E50" t="s">
        <v>164</v>
      </c>
    </row>
    <row r="51" spans="2:6" x14ac:dyDescent="0.35">
      <c r="C51" s="7">
        <v>321158001</v>
      </c>
      <c r="D51">
        <v>321158</v>
      </c>
      <c r="E51" t="s">
        <v>45</v>
      </c>
    </row>
    <row r="52" spans="2:6" x14ac:dyDescent="0.35">
      <c r="C52" s="7">
        <v>711046009</v>
      </c>
      <c r="D52">
        <v>711046</v>
      </c>
      <c r="E52" t="s">
        <v>165</v>
      </c>
    </row>
    <row r="53" spans="2:6" x14ac:dyDescent="0.35">
      <c r="C53" s="7">
        <v>711046012</v>
      </c>
      <c r="D53">
        <v>711046</v>
      </c>
      <c r="E53" t="s">
        <v>165</v>
      </c>
    </row>
    <row r="54" spans="2:6" x14ac:dyDescent="0.35">
      <c r="C54" s="7">
        <v>711046014</v>
      </c>
      <c r="D54">
        <v>711046</v>
      </c>
      <c r="E54" t="s">
        <v>165</v>
      </c>
    </row>
    <row r="55" spans="2:6" x14ac:dyDescent="0.35">
      <c r="C55" s="7">
        <v>711046021</v>
      </c>
      <c r="D55">
        <v>711046</v>
      </c>
      <c r="E55" t="s">
        <v>165</v>
      </c>
    </row>
    <row r="56" spans="2:6" x14ac:dyDescent="0.35">
      <c r="C56" s="7">
        <v>711046022</v>
      </c>
      <c r="D56">
        <v>711046</v>
      </c>
      <c r="E56" t="s">
        <v>165</v>
      </c>
    </row>
    <row r="57" spans="2:6" x14ac:dyDescent="0.35">
      <c r="C57" s="7">
        <v>711084005</v>
      </c>
      <c r="D57">
        <v>711084</v>
      </c>
      <c r="E57" t="s">
        <v>166</v>
      </c>
    </row>
    <row r="58" spans="2:6" x14ac:dyDescent="0.35">
      <c r="C58" s="7">
        <v>715084001</v>
      </c>
      <c r="D58">
        <v>715084</v>
      </c>
      <c r="E58" t="s">
        <v>166</v>
      </c>
    </row>
    <row r="59" spans="2:6" x14ac:dyDescent="0.35">
      <c r="C59" s="7">
        <v>715084002</v>
      </c>
      <c r="D59">
        <v>715084</v>
      </c>
      <c r="E59" t="s">
        <v>166</v>
      </c>
    </row>
    <row r="60" spans="2:6" x14ac:dyDescent="0.35">
      <c r="C60" s="7">
        <v>715084025</v>
      </c>
      <c r="D60">
        <v>715084</v>
      </c>
      <c r="E60" t="s">
        <v>166</v>
      </c>
    </row>
    <row r="61" spans="2:6" x14ac:dyDescent="0.35">
      <c r="C61" s="7">
        <v>715084915</v>
      </c>
      <c r="D61">
        <v>715085</v>
      </c>
      <c r="E61" t="s">
        <v>45</v>
      </c>
    </row>
    <row r="62" spans="2:6" ht="15" thickBot="1" x14ac:dyDescent="0.4">
      <c r="C62" s="7">
        <v>715084925</v>
      </c>
      <c r="D62">
        <v>715085</v>
      </c>
      <c r="E62" t="s">
        <v>45</v>
      </c>
    </row>
    <row r="63" spans="2:6" ht="15" thickBot="1" x14ac:dyDescent="0.4">
      <c r="C63" s="7">
        <v>715086015</v>
      </c>
      <c r="D63">
        <v>715086</v>
      </c>
      <c r="E63" t="s">
        <v>167</v>
      </c>
      <c r="F63" s="67"/>
    </row>
    <row r="64" spans="2:6" ht="15" thickTop="1" x14ac:dyDescent="0.35">
      <c r="C64" s="7">
        <v>715086025</v>
      </c>
      <c r="D64">
        <v>715086</v>
      </c>
      <c r="E64" t="s">
        <v>167</v>
      </c>
    </row>
    <row r="65" spans="3:5" x14ac:dyDescent="0.35">
      <c r="C65">
        <v>171112001</v>
      </c>
      <c r="D65">
        <v>171112</v>
      </c>
      <c r="E65" t="s">
        <v>41</v>
      </c>
    </row>
    <row r="72" spans="3:5" x14ac:dyDescent="0.35">
      <c r="C72">
        <v>131715001</v>
      </c>
      <c r="D72" t="str">
        <f>VLOOKUP(C72,$C$2:$E$64,3,FALSE)</f>
        <v>Prestamos a Sola Firma</v>
      </c>
    </row>
    <row r="73" spans="3:5" x14ac:dyDescent="0.35">
      <c r="C73">
        <v>131718001</v>
      </c>
      <c r="D73" t="str">
        <f t="shared" ref="D73:D75" si="0">VLOOKUP(C73,$C$2:$E$64,3,FALSE)</f>
        <v>Documentos descontados</v>
      </c>
    </row>
    <row r="74" spans="3:5" x14ac:dyDescent="0.35">
      <c r="C74">
        <v>131792001</v>
      </c>
      <c r="D74" t="str">
        <f t="shared" si="0"/>
        <v>Cobros no aplicados</v>
      </c>
    </row>
    <row r="75" spans="3:5" x14ac:dyDescent="0.35">
      <c r="C75">
        <v>141154001</v>
      </c>
      <c r="D75" t="str">
        <f t="shared" si="0"/>
        <v>IVA Debito Fiscal no Cobrados</v>
      </c>
    </row>
    <row r="333" spans="2:2" x14ac:dyDescent="0.35">
      <c r="B333" s="47"/>
    </row>
    <row r="521" spans="2:2" x14ac:dyDescent="0.35">
      <c r="B521" s="47"/>
    </row>
    <row r="528" spans="2:2" x14ac:dyDescent="0.35">
      <c r="B528" s="47"/>
    </row>
    <row r="638" spans="2:2" x14ac:dyDescent="0.35">
      <c r="B638" s="47"/>
    </row>
    <row r="645" spans="2:2" x14ac:dyDescent="0.35">
      <c r="B645" s="47"/>
    </row>
    <row r="928" spans="2:2" x14ac:dyDescent="0.35">
      <c r="B928" s="47"/>
    </row>
    <row r="965" spans="2:2" x14ac:dyDescent="0.35">
      <c r="B965" s="47"/>
    </row>
    <row r="984" spans="2:2" x14ac:dyDescent="0.35">
      <c r="B984" s="47"/>
    </row>
    <row r="988" spans="2:2" x14ac:dyDescent="0.35">
      <c r="B988" s="47"/>
    </row>
    <row r="1008" spans="2:2" x14ac:dyDescent="0.35">
      <c r="B1008" s="47"/>
    </row>
    <row r="1010" spans="2:2" x14ac:dyDescent="0.35">
      <c r="B1010" s="47"/>
    </row>
    <row r="1013" spans="2:2" x14ac:dyDescent="0.35">
      <c r="B1013" s="47"/>
    </row>
    <row r="1015" spans="2:2" x14ac:dyDescent="0.35">
      <c r="B1015" s="47"/>
    </row>
    <row r="1025" spans="2:2" x14ac:dyDescent="0.35">
      <c r="B1025" s="47"/>
    </row>
    <row r="1026" spans="2:2" x14ac:dyDescent="0.35">
      <c r="B1026" s="47"/>
    </row>
  </sheetData>
  <mergeCells count="1">
    <mergeCell ref="P2:P6"/>
  </mergeCells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workbookViewId="0"/>
  </sheetViews>
  <sheetFormatPr baseColWidth="10" defaultColWidth="9.1796875" defaultRowHeight="14.5" x14ac:dyDescent="0.35"/>
  <cols>
    <col min="1" max="1" width="20.7265625" customWidth="1"/>
    <col min="5" max="5" width="11.453125" customWidth="1"/>
    <col min="8" max="8" width="14" customWidth="1"/>
  </cols>
  <sheetData>
    <row r="1" spans="1:3" x14ac:dyDescent="0.35">
      <c r="A1" t="s">
        <v>168</v>
      </c>
    </row>
    <row r="2" spans="1:3" x14ac:dyDescent="0.35">
      <c r="A2">
        <v>131442001</v>
      </c>
      <c r="B2">
        <v>1</v>
      </c>
      <c r="C2" t="s">
        <v>100</v>
      </c>
    </row>
    <row r="3" spans="1:3" x14ac:dyDescent="0.35">
      <c r="A3">
        <v>131709001</v>
      </c>
      <c r="B3">
        <v>1</v>
      </c>
    </row>
    <row r="4" spans="1:3" x14ac:dyDescent="0.35">
      <c r="A4">
        <v>131709002</v>
      </c>
      <c r="B4">
        <v>1</v>
      </c>
    </row>
    <row r="5" spans="1:3" x14ac:dyDescent="0.35">
      <c r="A5">
        <v>131715001</v>
      </c>
      <c r="B5">
        <v>1</v>
      </c>
    </row>
    <row r="6" spans="1:3" x14ac:dyDescent="0.35">
      <c r="A6">
        <v>131731003</v>
      </c>
      <c r="B6">
        <v>1</v>
      </c>
    </row>
    <row r="7" spans="1:3" x14ac:dyDescent="0.35">
      <c r="A7">
        <v>131731051</v>
      </c>
      <c r="B7">
        <v>1</v>
      </c>
    </row>
    <row r="8" spans="1:3" x14ac:dyDescent="0.35">
      <c r="A8">
        <v>131742001</v>
      </c>
      <c r="B8">
        <v>1</v>
      </c>
    </row>
    <row r="9" spans="1:3" x14ac:dyDescent="0.35">
      <c r="A9">
        <v>131742008</v>
      </c>
      <c r="B9">
        <v>1</v>
      </c>
    </row>
    <row r="10" spans="1:3" x14ac:dyDescent="0.35">
      <c r="A10">
        <v>135742001</v>
      </c>
      <c r="B10">
        <v>1</v>
      </c>
    </row>
    <row r="11" spans="1:3" x14ac:dyDescent="0.35">
      <c r="A11">
        <v>141154001</v>
      </c>
      <c r="B11">
        <v>1</v>
      </c>
    </row>
    <row r="12" spans="1:3" x14ac:dyDescent="0.35">
      <c r="A12">
        <v>171112001</v>
      </c>
      <c r="B12">
        <v>1</v>
      </c>
      <c r="C12" t="s">
        <v>169</v>
      </c>
    </row>
    <row r="13" spans="1:3" x14ac:dyDescent="0.35">
      <c r="A13">
        <v>711084004</v>
      </c>
      <c r="B13">
        <v>1</v>
      </c>
      <c r="C13" t="s">
        <v>170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23559-8FF7-4443-8E15-F9BBF2C017EE}">
  <dimension ref="A1:AQ679"/>
  <sheetViews>
    <sheetView topLeftCell="B1" zoomScaleNormal="100" workbookViewId="0">
      <pane ySplit="1" topLeftCell="A2" activePane="bottomLeft" state="frozen"/>
      <selection pane="bottomLeft" activeCell="K236" sqref="K236"/>
    </sheetView>
  </sheetViews>
  <sheetFormatPr baseColWidth="10" defaultColWidth="9.1796875" defaultRowHeight="14.5" x14ac:dyDescent="0.35"/>
  <cols>
    <col min="1" max="1" width="10" bestFit="1" customWidth="1"/>
    <col min="6" max="6" width="10.7265625" customWidth="1"/>
    <col min="7" max="8" width="10.81640625" customWidth="1"/>
    <col min="9" max="10" width="9.1796875" customWidth="1"/>
    <col min="11" max="11" width="12.54296875" customWidth="1"/>
    <col min="12" max="16" width="9.1796875" customWidth="1"/>
    <col min="17" max="17" width="10.81640625" customWidth="1"/>
    <col min="18" max="18" width="13.7265625" customWidth="1"/>
    <col min="19" max="19" width="16.1796875" customWidth="1"/>
    <col min="20" max="20" width="14.54296875" customWidth="1"/>
    <col min="21" max="21" width="15" customWidth="1"/>
    <col min="22" max="24" width="12.453125" customWidth="1"/>
    <col min="25" max="25" width="17.81640625" customWidth="1"/>
    <col min="28" max="28" width="20.81640625" customWidth="1"/>
    <col min="29" max="29" width="11" bestFit="1" customWidth="1"/>
    <col min="41" max="41" width="23.54296875" customWidth="1"/>
    <col min="42" max="42" width="8.6328125" customWidth="1"/>
    <col min="43" max="43" width="23.453125" customWidth="1"/>
  </cols>
  <sheetData>
    <row r="1" spans="1:43" x14ac:dyDescent="0.35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174</v>
      </c>
      <c r="M1" t="s">
        <v>175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s="91" t="s">
        <v>74</v>
      </c>
      <c r="Z1" s="91" t="s">
        <v>75</v>
      </c>
      <c r="AA1" s="91" t="s">
        <v>76</v>
      </c>
      <c r="AB1" s="91" t="s">
        <v>77</v>
      </c>
      <c r="AC1" s="91" t="s">
        <v>78</v>
      </c>
      <c r="AD1" s="91" t="s">
        <v>79</v>
      </c>
      <c r="AE1" s="91" t="s">
        <v>80</v>
      </c>
      <c r="AF1" s="91" t="s">
        <v>81</v>
      </c>
      <c r="AG1" s="91" t="s">
        <v>82</v>
      </c>
      <c r="AH1" s="91" t="s">
        <v>83</v>
      </c>
      <c r="AI1" s="91" t="s">
        <v>84</v>
      </c>
      <c r="AJ1" s="91" t="s">
        <v>85</v>
      </c>
      <c r="AK1" s="91" t="s">
        <v>86</v>
      </c>
      <c r="AL1" s="91" t="s">
        <v>87</v>
      </c>
      <c r="AM1" s="91" t="s">
        <v>88</v>
      </c>
      <c r="AN1" s="91" t="s">
        <v>89</v>
      </c>
      <c r="AO1" s="91" t="s">
        <v>90</v>
      </c>
    </row>
    <row r="2" spans="1:43" s="98" customFormat="1" x14ac:dyDescent="0.35">
      <c r="A2">
        <v>131709001</v>
      </c>
      <c r="B2">
        <v>80</v>
      </c>
      <c r="C2">
        <v>6206</v>
      </c>
      <c r="D2">
        <v>3563</v>
      </c>
      <c r="E2">
        <v>0</v>
      </c>
      <c r="F2" s="1">
        <v>46142</v>
      </c>
      <c r="G2" s="1">
        <v>46417</v>
      </c>
      <c r="H2" s="1">
        <v>46052</v>
      </c>
      <c r="I2">
        <v>365</v>
      </c>
      <c r="J2">
        <v>2</v>
      </c>
      <c r="K2" s="11">
        <v>73</v>
      </c>
      <c r="L2">
        <v>0</v>
      </c>
      <c r="M2">
        <v>0</v>
      </c>
      <c r="N2" t="s">
        <v>92</v>
      </c>
      <c r="O2" t="s">
        <v>93</v>
      </c>
      <c r="P2">
        <v>466</v>
      </c>
      <c r="Q2" s="1" t="s">
        <v>95</v>
      </c>
      <c r="R2" s="12">
        <v>46136</v>
      </c>
      <c r="S2" s="12">
        <v>0</v>
      </c>
      <c r="T2" s="12">
        <v>-22482.799999999999</v>
      </c>
      <c r="U2" s="12">
        <v>-16.28</v>
      </c>
      <c r="V2" s="12">
        <v>-22482.799999999999</v>
      </c>
      <c r="W2" s="12">
        <v>0</v>
      </c>
      <c r="X2">
        <v>224.83</v>
      </c>
      <c r="Y2" t="str">
        <f t="shared" ref="Y2:Y65" si="0">TRIM(O2)</f>
        <v>Sit.Normal</v>
      </c>
      <c r="Z2">
        <f t="shared" ref="Z2:Z65" si="1">IF(Y2="Sit.Normal",1,IF(Y2="Riesgo potencia",2,IF(Y2="Con Problemas",3,IF(Y2="Alto Riesgo",4,IF(Y2="Irrecuperable",5,IF(Y2="Irrec Disp Tecn",6,IF(Y2="Sin identificación",0,"")))))))</f>
        <v>1</v>
      </c>
      <c r="AA2"/>
      <c r="AB2">
        <f>VLOOKUP(A2,rubros_a_considerar!$A$2:$A$13,1,FALSE)</f>
        <v>131709001</v>
      </c>
      <c r="AC2"/>
      <c r="AD2"/>
      <c r="AE2"/>
      <c r="AF2"/>
      <c r="AG2"/>
      <c r="AH2"/>
      <c r="AI2"/>
      <c r="AJ2"/>
      <c r="AK2"/>
      <c r="AL2"/>
      <c r="AM2"/>
      <c r="AN2"/>
      <c r="AO2" t="str">
        <f>IFERROR(VLOOKUP(A2,Diccionario!$C$2:$E$65,3,FALSE),"no")</f>
        <v>ACC</v>
      </c>
      <c r="AP2"/>
      <c r="AQ2" s="139" t="s">
        <v>171</v>
      </c>
    </row>
    <row r="3" spans="1:43" s="98" customFormat="1" x14ac:dyDescent="0.35">
      <c r="A3">
        <v>131709001</v>
      </c>
      <c r="B3">
        <v>80</v>
      </c>
      <c r="C3">
        <v>59750</v>
      </c>
      <c r="D3">
        <v>3553</v>
      </c>
      <c r="E3">
        <v>0</v>
      </c>
      <c r="F3" s="1">
        <v>46142</v>
      </c>
      <c r="G3" s="1">
        <v>46235</v>
      </c>
      <c r="H3" s="1">
        <v>45870</v>
      </c>
      <c r="I3">
        <v>365</v>
      </c>
      <c r="J3">
        <v>2</v>
      </c>
      <c r="K3" s="11">
        <v>52</v>
      </c>
      <c r="L3">
        <v>0</v>
      </c>
      <c r="M3">
        <v>0</v>
      </c>
      <c r="N3" t="s">
        <v>92</v>
      </c>
      <c r="O3" t="s">
        <v>93</v>
      </c>
      <c r="P3">
        <v>103</v>
      </c>
      <c r="Q3" s="1" t="s">
        <v>95</v>
      </c>
      <c r="R3" s="12">
        <v>45797</v>
      </c>
      <c r="S3" s="12">
        <v>0</v>
      </c>
      <c r="T3" s="12">
        <v>-7347455.1500000004</v>
      </c>
      <c r="U3" s="12">
        <v>-5320.02</v>
      </c>
      <c r="V3" s="12">
        <v>-7347455.1500000004</v>
      </c>
      <c r="W3" s="12">
        <v>0</v>
      </c>
      <c r="X3">
        <v>73474.55</v>
      </c>
      <c r="Y3" t="str">
        <f t="shared" si="0"/>
        <v>Sit.Normal</v>
      </c>
      <c r="Z3">
        <f t="shared" si="1"/>
        <v>1</v>
      </c>
      <c r="AA3"/>
      <c r="AB3">
        <f>VLOOKUP(A3,rubros_a_considerar!$A$2:$A$13,1,FALSE)</f>
        <v>131709001</v>
      </c>
      <c r="AC3"/>
      <c r="AD3"/>
      <c r="AE3"/>
      <c r="AF3"/>
      <c r="AG3"/>
      <c r="AH3"/>
      <c r="AI3"/>
      <c r="AJ3"/>
      <c r="AK3"/>
      <c r="AL3"/>
      <c r="AM3"/>
      <c r="AN3"/>
      <c r="AO3" t="str">
        <f>IFERROR(VLOOKUP(A3,Diccionario!$C$2:$E$65,3,FALSE),"no")</f>
        <v>ACC</v>
      </c>
      <c r="AP3"/>
      <c r="AQ3" s="139"/>
    </row>
    <row r="4" spans="1:43" ht="15" customHeight="1" x14ac:dyDescent="0.35">
      <c r="A4">
        <v>131709001</v>
      </c>
      <c r="B4">
        <v>80</v>
      </c>
      <c r="C4">
        <v>85455</v>
      </c>
      <c r="D4">
        <v>3560</v>
      </c>
      <c r="E4">
        <v>0</v>
      </c>
      <c r="F4" s="1">
        <v>46142</v>
      </c>
      <c r="G4" s="1">
        <v>46302</v>
      </c>
      <c r="H4" s="1">
        <v>45937</v>
      </c>
      <c r="I4">
        <v>365</v>
      </c>
      <c r="J4">
        <v>2</v>
      </c>
      <c r="K4" s="11">
        <v>73</v>
      </c>
      <c r="L4">
        <v>0</v>
      </c>
      <c r="M4">
        <v>0</v>
      </c>
      <c r="N4" t="s">
        <v>92</v>
      </c>
      <c r="O4" t="s">
        <v>93</v>
      </c>
      <c r="P4">
        <v>620</v>
      </c>
      <c r="Q4" s="1" t="s">
        <v>95</v>
      </c>
      <c r="R4" s="12">
        <v>46142</v>
      </c>
      <c r="S4" s="12">
        <v>0</v>
      </c>
      <c r="T4" s="12">
        <v>-103456.1</v>
      </c>
      <c r="U4" s="12">
        <v>-74.91</v>
      </c>
      <c r="V4" s="12">
        <v>-103456.1</v>
      </c>
      <c r="W4" s="12">
        <v>0</v>
      </c>
      <c r="X4">
        <v>1034.56</v>
      </c>
      <c r="Y4" t="str">
        <f t="shared" si="0"/>
        <v>Sit.Normal</v>
      </c>
      <c r="Z4">
        <f t="shared" si="1"/>
        <v>1</v>
      </c>
      <c r="AB4">
        <f>VLOOKUP(A4,rubros_a_considerar!$A$2:$A$13,1,FALSE)</f>
        <v>131709001</v>
      </c>
      <c r="AO4" t="str">
        <f>IFERROR(VLOOKUP(A4,Diccionario!$C$2:$E$65,3,FALSE),"no")</f>
        <v>ACC</v>
      </c>
      <c r="AQ4" s="139"/>
    </row>
    <row r="5" spans="1:43" x14ac:dyDescent="0.35">
      <c r="A5">
        <v>711046009</v>
      </c>
      <c r="B5">
        <v>80</v>
      </c>
      <c r="C5">
        <v>58096</v>
      </c>
      <c r="D5">
        <v>1</v>
      </c>
      <c r="E5">
        <v>0</v>
      </c>
      <c r="F5" s="1">
        <v>46142</v>
      </c>
      <c r="G5" s="1" t="s">
        <v>96</v>
      </c>
      <c r="H5" s="1">
        <v>44712</v>
      </c>
      <c r="I5">
        <v>0</v>
      </c>
      <c r="J5">
        <v>0</v>
      </c>
      <c r="K5" s="11">
        <v>0</v>
      </c>
      <c r="L5">
        <v>0</v>
      </c>
      <c r="M5">
        <v>0</v>
      </c>
      <c r="N5" t="s">
        <v>92</v>
      </c>
      <c r="O5" t="s">
        <v>173</v>
      </c>
      <c r="P5">
        <v>466</v>
      </c>
      <c r="Q5" s="1" t="s">
        <v>95</v>
      </c>
      <c r="R5" s="12">
        <v>44712</v>
      </c>
      <c r="S5" s="12">
        <v>0</v>
      </c>
      <c r="T5" s="12">
        <v>-7147.25</v>
      </c>
      <c r="U5" s="12">
        <v>-5.18</v>
      </c>
      <c r="V5" s="12">
        <v>-7147.25</v>
      </c>
      <c r="W5" s="12">
        <v>0</v>
      </c>
      <c r="X5">
        <v>0</v>
      </c>
      <c r="Y5" t="str">
        <f t="shared" si="0"/>
        <v>Irrecuperable</v>
      </c>
      <c r="Z5">
        <f t="shared" si="1"/>
        <v>5</v>
      </c>
      <c r="AB5" t="e">
        <f>VLOOKUP(A5,rubros_a_considerar!$A$2:$A$13,1,FALSE)</f>
        <v>#N/A</v>
      </c>
      <c r="AO5" t="str">
        <f>IFERROR(VLOOKUP(A5,Diccionario!$C$2:$E$65,3,FALSE),"no")</f>
        <v>Creditos Clasificados Irrecuperables</v>
      </c>
      <c r="AQ5" s="139"/>
    </row>
    <row r="6" spans="1:43" x14ac:dyDescent="0.35">
      <c r="A6">
        <v>711046009</v>
      </c>
      <c r="B6">
        <v>80</v>
      </c>
      <c r="C6">
        <v>82147</v>
      </c>
      <c r="D6">
        <v>1</v>
      </c>
      <c r="E6">
        <v>0</v>
      </c>
      <c r="F6" s="1">
        <v>46142</v>
      </c>
      <c r="G6" s="1" t="s">
        <v>96</v>
      </c>
      <c r="H6" s="1">
        <v>43174</v>
      </c>
      <c r="I6" s="12">
        <v>0</v>
      </c>
      <c r="J6" s="12">
        <v>0</v>
      </c>
      <c r="K6" s="12">
        <v>0</v>
      </c>
      <c r="L6" s="12">
        <v>0</v>
      </c>
      <c r="M6">
        <v>0</v>
      </c>
      <c r="N6" t="s">
        <v>92</v>
      </c>
      <c r="O6" t="s">
        <v>173</v>
      </c>
      <c r="P6">
        <v>462</v>
      </c>
      <c r="Q6" t="s">
        <v>95</v>
      </c>
      <c r="R6">
        <v>43174</v>
      </c>
      <c r="S6">
        <v>0</v>
      </c>
      <c r="T6">
        <v>-1305379.73</v>
      </c>
      <c r="U6">
        <v>-945.18</v>
      </c>
      <c r="V6">
        <v>-1305379.73</v>
      </c>
      <c r="W6">
        <v>0</v>
      </c>
      <c r="X6">
        <v>0</v>
      </c>
      <c r="Y6" t="str">
        <f t="shared" si="0"/>
        <v>Irrecuperable</v>
      </c>
      <c r="Z6">
        <f t="shared" si="1"/>
        <v>5</v>
      </c>
      <c r="AB6" t="e">
        <f>VLOOKUP(A6,rubros_a_considerar!$A$2:$A$13,1,FALSE)</f>
        <v>#N/A</v>
      </c>
      <c r="AO6" t="str">
        <f>IFERROR(VLOOKUP(A6,Diccionario!$C$2:$E$65,3,FALSE),"no")</f>
        <v>Creditos Clasificados Irrecuperables</v>
      </c>
      <c r="AQ6" s="139"/>
    </row>
    <row r="7" spans="1:43" x14ac:dyDescent="0.35">
      <c r="A7">
        <v>711046009</v>
      </c>
      <c r="B7">
        <v>80</v>
      </c>
      <c r="C7">
        <v>84568</v>
      </c>
      <c r="D7">
        <v>1</v>
      </c>
      <c r="E7">
        <v>0</v>
      </c>
      <c r="F7" s="1">
        <v>46142</v>
      </c>
      <c r="G7" s="1" t="s">
        <v>96</v>
      </c>
      <c r="H7" s="1">
        <v>44769</v>
      </c>
      <c r="I7">
        <v>0</v>
      </c>
      <c r="J7">
        <v>0</v>
      </c>
      <c r="K7" s="11">
        <v>0</v>
      </c>
      <c r="L7">
        <v>0</v>
      </c>
      <c r="M7">
        <v>0</v>
      </c>
      <c r="N7" t="s">
        <v>92</v>
      </c>
      <c r="O7" t="s">
        <v>173</v>
      </c>
      <c r="P7">
        <v>662</v>
      </c>
      <c r="Q7" s="1" t="s">
        <v>95</v>
      </c>
      <c r="R7" s="12">
        <v>44769</v>
      </c>
      <c r="S7" s="12">
        <v>0</v>
      </c>
      <c r="T7" s="12">
        <v>-1680.74</v>
      </c>
      <c r="U7" s="12">
        <v>-1.22</v>
      </c>
      <c r="V7" s="12">
        <v>-1680.74</v>
      </c>
      <c r="W7" s="12">
        <v>0</v>
      </c>
      <c r="X7">
        <v>0</v>
      </c>
      <c r="Y7" t="str">
        <f t="shared" si="0"/>
        <v>Irrecuperable</v>
      </c>
      <c r="Z7">
        <f t="shared" si="1"/>
        <v>5</v>
      </c>
      <c r="AB7" t="e">
        <f>VLOOKUP(A7,rubros_a_considerar!$A$2:$A$13,1,FALSE)</f>
        <v>#N/A</v>
      </c>
      <c r="AO7" t="str">
        <f>IFERROR(VLOOKUP(A7,Diccionario!$C$2:$E$65,3,FALSE),"no")</f>
        <v>Creditos Clasificados Irrecuperables</v>
      </c>
    </row>
    <row r="8" spans="1:43" s="98" customFormat="1" ht="14.5" customHeight="1" x14ac:dyDescent="0.35">
      <c r="A8">
        <v>711046009</v>
      </c>
      <c r="B8">
        <v>80</v>
      </c>
      <c r="C8">
        <v>85126</v>
      </c>
      <c r="D8">
        <v>1</v>
      </c>
      <c r="E8">
        <v>0</v>
      </c>
      <c r="F8" s="1">
        <v>46142</v>
      </c>
      <c r="G8" s="1" t="s">
        <v>96</v>
      </c>
      <c r="H8" s="1">
        <v>44301</v>
      </c>
      <c r="I8" s="12">
        <v>0</v>
      </c>
      <c r="J8" s="12">
        <v>0</v>
      </c>
      <c r="K8" s="12">
        <v>0</v>
      </c>
      <c r="L8" s="12">
        <v>0</v>
      </c>
      <c r="M8">
        <v>0</v>
      </c>
      <c r="N8" t="s">
        <v>92</v>
      </c>
      <c r="O8" t="s">
        <v>173</v>
      </c>
      <c r="P8">
        <v>619</v>
      </c>
      <c r="Q8" t="s">
        <v>95</v>
      </c>
      <c r="R8">
        <v>44301</v>
      </c>
      <c r="S8">
        <v>0</v>
      </c>
      <c r="T8">
        <v>-9055314.3399999999</v>
      </c>
      <c r="U8">
        <v>-6556.62</v>
      </c>
      <c r="V8">
        <v>-9055314.3399999999</v>
      </c>
      <c r="W8">
        <v>0</v>
      </c>
      <c r="X8">
        <v>0</v>
      </c>
      <c r="Y8" t="str">
        <f t="shared" si="0"/>
        <v>Irrecuperable</v>
      </c>
      <c r="Z8">
        <f t="shared" si="1"/>
        <v>5</v>
      </c>
      <c r="AA8"/>
      <c r="AB8" t="e">
        <f>VLOOKUP(A8,rubros_a_considerar!$A$2:$A$13,1,FALSE)</f>
        <v>#N/A</v>
      </c>
      <c r="AC8"/>
      <c r="AD8"/>
      <c r="AE8"/>
      <c r="AF8"/>
      <c r="AG8"/>
      <c r="AH8"/>
      <c r="AI8"/>
      <c r="AJ8"/>
      <c r="AK8"/>
      <c r="AL8"/>
      <c r="AM8"/>
      <c r="AN8"/>
      <c r="AO8" t="str">
        <f>IFERROR(VLOOKUP(A8,Diccionario!$C$2:$E$65,3,FALSE),"no")</f>
        <v>Creditos Clasificados Irrecuperables</v>
      </c>
      <c r="AP8"/>
      <c r="AQ8" s="140" t="s">
        <v>172</v>
      </c>
    </row>
    <row r="9" spans="1:43" ht="15" customHeight="1" x14ac:dyDescent="0.35">
      <c r="A9">
        <v>711046021</v>
      </c>
      <c r="B9">
        <v>80</v>
      </c>
      <c r="C9">
        <v>85995</v>
      </c>
      <c r="D9">
        <v>36463</v>
      </c>
      <c r="E9">
        <v>0</v>
      </c>
      <c r="F9" s="1">
        <v>46142</v>
      </c>
      <c r="G9" s="1" t="s">
        <v>96</v>
      </c>
      <c r="H9" s="1">
        <v>43994</v>
      </c>
      <c r="I9">
        <v>0</v>
      </c>
      <c r="J9">
        <v>0</v>
      </c>
      <c r="K9" s="11">
        <v>0</v>
      </c>
      <c r="L9">
        <v>0</v>
      </c>
      <c r="M9">
        <v>0</v>
      </c>
      <c r="N9" t="s">
        <v>92</v>
      </c>
      <c r="O9" t="s">
        <v>173</v>
      </c>
      <c r="P9">
        <v>451</v>
      </c>
      <c r="Q9" s="1" t="s">
        <v>95</v>
      </c>
      <c r="R9" s="12">
        <v>43994</v>
      </c>
      <c r="S9" s="12">
        <v>0</v>
      </c>
      <c r="T9" s="12">
        <v>-6422.26</v>
      </c>
      <c r="U9" s="12">
        <v>-4.6500000000000004</v>
      </c>
      <c r="V9" s="12">
        <v>-6422.26</v>
      </c>
      <c r="W9" s="12">
        <v>0</v>
      </c>
      <c r="X9">
        <v>0</v>
      </c>
      <c r="Y9" t="str">
        <f t="shared" si="0"/>
        <v>Irrecuperable</v>
      </c>
      <c r="Z9">
        <f t="shared" si="1"/>
        <v>5</v>
      </c>
      <c r="AB9" t="e">
        <f>VLOOKUP(A9,rubros_a_considerar!$A$2:$A$13,1,FALSE)</f>
        <v>#N/A</v>
      </c>
      <c r="AO9" t="str">
        <f>IFERROR(VLOOKUP(A9,Diccionario!$C$2:$E$65,3,FALSE),"no")</f>
        <v>Creditos Clasificados Irrecuperables</v>
      </c>
      <c r="AQ9" s="140"/>
    </row>
    <row r="10" spans="1:43" x14ac:dyDescent="0.35">
      <c r="A10">
        <v>711046009</v>
      </c>
      <c r="B10">
        <v>80</v>
      </c>
      <c r="C10">
        <v>85995</v>
      </c>
      <c r="D10">
        <v>1</v>
      </c>
      <c r="E10">
        <v>0</v>
      </c>
      <c r="F10" s="1">
        <v>46142</v>
      </c>
      <c r="G10" s="1" t="s">
        <v>96</v>
      </c>
      <c r="H10" s="1">
        <v>43994</v>
      </c>
      <c r="I10">
        <v>0</v>
      </c>
      <c r="J10">
        <v>0</v>
      </c>
      <c r="K10" s="11">
        <v>0</v>
      </c>
      <c r="L10">
        <v>0</v>
      </c>
      <c r="M10">
        <v>0</v>
      </c>
      <c r="N10" t="s">
        <v>92</v>
      </c>
      <c r="O10" t="s">
        <v>173</v>
      </c>
      <c r="P10">
        <v>451</v>
      </c>
      <c r="Q10" s="1" t="s">
        <v>95</v>
      </c>
      <c r="R10" s="12">
        <v>43994</v>
      </c>
      <c r="S10" s="12">
        <v>0</v>
      </c>
      <c r="T10" s="12">
        <v>-3505334.37</v>
      </c>
      <c r="U10" s="12">
        <v>-2538.08</v>
      </c>
      <c r="V10" s="12">
        <v>-3505334.37</v>
      </c>
      <c r="W10" s="12">
        <v>0</v>
      </c>
      <c r="X10">
        <v>0</v>
      </c>
      <c r="Y10" t="str">
        <f t="shared" si="0"/>
        <v>Irrecuperable</v>
      </c>
      <c r="Z10">
        <f t="shared" si="1"/>
        <v>5</v>
      </c>
      <c r="AB10" t="e">
        <f>VLOOKUP(A10,rubros_a_considerar!$A$2:$A$13,1,FALSE)</f>
        <v>#N/A</v>
      </c>
      <c r="AO10" t="str">
        <f>IFERROR(VLOOKUP(A10,Diccionario!$C$2:$E$65,3,FALSE),"no")</f>
        <v>Creditos Clasificados Irrecuperables</v>
      </c>
      <c r="AQ10" s="140"/>
    </row>
    <row r="11" spans="1:43" x14ac:dyDescent="0.35">
      <c r="A11">
        <v>711046021</v>
      </c>
      <c r="B11">
        <v>80</v>
      </c>
      <c r="C11">
        <v>86002</v>
      </c>
      <c r="D11">
        <v>36469</v>
      </c>
      <c r="E11">
        <v>0</v>
      </c>
      <c r="F11" s="1">
        <v>46142</v>
      </c>
      <c r="G11" s="1" t="s">
        <v>96</v>
      </c>
      <c r="H11" s="1">
        <v>43993</v>
      </c>
      <c r="I11">
        <v>0</v>
      </c>
      <c r="J11">
        <v>0</v>
      </c>
      <c r="K11" s="11">
        <v>0</v>
      </c>
      <c r="L11">
        <v>0</v>
      </c>
      <c r="M11">
        <v>0</v>
      </c>
      <c r="N11" t="s">
        <v>92</v>
      </c>
      <c r="O11" t="s">
        <v>173</v>
      </c>
      <c r="P11">
        <v>475</v>
      </c>
      <c r="Q11" s="1" t="s">
        <v>95</v>
      </c>
      <c r="R11" s="12">
        <v>43993</v>
      </c>
      <c r="S11" s="12">
        <v>0</v>
      </c>
      <c r="T11" s="12">
        <v>-4228.7700000000004</v>
      </c>
      <c r="U11" s="12">
        <v>-3.06</v>
      </c>
      <c r="V11" s="12">
        <v>-4228.7700000000004</v>
      </c>
      <c r="W11" s="12">
        <v>0</v>
      </c>
      <c r="X11">
        <v>0</v>
      </c>
      <c r="Y11" t="str">
        <f t="shared" si="0"/>
        <v>Irrecuperable</v>
      </c>
      <c r="Z11">
        <f t="shared" si="1"/>
        <v>5</v>
      </c>
      <c r="AB11" t="e">
        <f>VLOOKUP(A11,rubros_a_considerar!$A$2:$A$13,1,FALSE)</f>
        <v>#N/A</v>
      </c>
      <c r="AO11" t="str">
        <f>IFERROR(VLOOKUP(A11,Diccionario!$C$2:$E$65,3,FALSE),"no")</f>
        <v>Creditos Clasificados Irrecuperables</v>
      </c>
      <c r="AQ11" s="140"/>
    </row>
    <row r="12" spans="1:43" x14ac:dyDescent="0.35">
      <c r="A12">
        <v>711046009</v>
      </c>
      <c r="B12">
        <v>80</v>
      </c>
      <c r="C12">
        <v>86002</v>
      </c>
      <c r="D12">
        <v>1</v>
      </c>
      <c r="E12">
        <v>0</v>
      </c>
      <c r="F12" s="1">
        <v>46142</v>
      </c>
      <c r="G12" s="1" t="s">
        <v>96</v>
      </c>
      <c r="H12" s="1">
        <v>43993</v>
      </c>
      <c r="I12">
        <v>0</v>
      </c>
      <c r="J12">
        <v>0</v>
      </c>
      <c r="K12" s="11">
        <v>0</v>
      </c>
      <c r="L12">
        <v>0</v>
      </c>
      <c r="M12">
        <v>0</v>
      </c>
      <c r="N12" t="s">
        <v>92</v>
      </c>
      <c r="O12" t="s">
        <v>173</v>
      </c>
      <c r="P12">
        <v>475</v>
      </c>
      <c r="Q12" s="1" t="s">
        <v>95</v>
      </c>
      <c r="R12" s="12">
        <v>43993</v>
      </c>
      <c r="S12" s="12">
        <v>0</v>
      </c>
      <c r="T12" s="12">
        <v>-1037626.74</v>
      </c>
      <c r="U12" s="12">
        <v>-751.31</v>
      </c>
      <c r="V12" s="12">
        <v>-1037626.74</v>
      </c>
      <c r="W12" s="12">
        <v>0</v>
      </c>
      <c r="X12">
        <v>0</v>
      </c>
      <c r="Y12" t="str">
        <f t="shared" si="0"/>
        <v>Irrecuperable</v>
      </c>
      <c r="Z12">
        <f t="shared" si="1"/>
        <v>5</v>
      </c>
      <c r="AB12" t="e">
        <f>VLOOKUP(A12,rubros_a_considerar!$A$2:$A$13,1,FALSE)</f>
        <v>#N/A</v>
      </c>
      <c r="AO12" t="str">
        <f>IFERROR(VLOOKUP(A12,Diccionario!$C$2:$E$65,3,FALSE),"no")</f>
        <v>Creditos Clasificados Irrecuperables</v>
      </c>
      <c r="AQ12" s="140"/>
    </row>
    <row r="13" spans="1:43" x14ac:dyDescent="0.35">
      <c r="A13">
        <v>711046008</v>
      </c>
      <c r="B13">
        <v>80</v>
      </c>
      <c r="C13">
        <v>14073</v>
      </c>
      <c r="D13">
        <v>39110</v>
      </c>
      <c r="E13">
        <v>0</v>
      </c>
      <c r="F13" s="1">
        <v>46142</v>
      </c>
      <c r="G13" s="1" t="s">
        <v>96</v>
      </c>
      <c r="H13" s="1">
        <v>42944</v>
      </c>
      <c r="I13">
        <v>0</v>
      </c>
      <c r="J13">
        <v>0</v>
      </c>
      <c r="K13" s="11">
        <v>0</v>
      </c>
      <c r="L13">
        <v>0</v>
      </c>
      <c r="M13">
        <v>0</v>
      </c>
      <c r="N13" t="s">
        <v>92</v>
      </c>
      <c r="O13" t="s">
        <v>173</v>
      </c>
      <c r="P13">
        <v>999</v>
      </c>
      <c r="Q13" s="1" t="s">
        <v>94</v>
      </c>
      <c r="R13" s="12">
        <v>42944</v>
      </c>
      <c r="S13" s="12">
        <v>0</v>
      </c>
      <c r="T13" s="12">
        <v>-8291.85</v>
      </c>
      <c r="U13" s="12">
        <v>-6</v>
      </c>
      <c r="V13" s="12">
        <v>-8291.85</v>
      </c>
      <c r="W13" s="12">
        <v>0</v>
      </c>
      <c r="X13">
        <v>0</v>
      </c>
      <c r="Y13" t="str">
        <f t="shared" si="0"/>
        <v>Irrecuperable</v>
      </c>
      <c r="Z13">
        <f t="shared" si="1"/>
        <v>5</v>
      </c>
      <c r="AB13" t="e">
        <f>VLOOKUP(A13,rubros_a_considerar!$A$2:$A$13,1,FALSE)</f>
        <v>#N/A</v>
      </c>
      <c r="AO13" t="str">
        <f>IFERROR(VLOOKUP(A13,Diccionario!$C$2:$E$65,3,FALSE),"no")</f>
        <v>Créditos clasificados irrecuperables</v>
      </c>
    </row>
    <row r="14" spans="1:43" x14ac:dyDescent="0.35">
      <c r="A14">
        <v>711046013</v>
      </c>
      <c r="B14">
        <v>80</v>
      </c>
      <c r="C14">
        <v>23483</v>
      </c>
      <c r="D14">
        <v>23483</v>
      </c>
      <c r="E14">
        <v>0</v>
      </c>
      <c r="F14" s="1">
        <v>46142</v>
      </c>
      <c r="G14" s="1" t="s">
        <v>96</v>
      </c>
      <c r="H14" s="1">
        <v>43724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92</v>
      </c>
      <c r="O14" t="s">
        <v>173</v>
      </c>
      <c r="P14">
        <v>999</v>
      </c>
      <c r="Q14" t="s">
        <v>94</v>
      </c>
      <c r="R14">
        <v>43724</v>
      </c>
      <c r="S14">
        <v>0</v>
      </c>
      <c r="T14">
        <v>-16261.71</v>
      </c>
      <c r="U14">
        <v>-11.77</v>
      </c>
      <c r="V14">
        <v>-16261.71</v>
      </c>
      <c r="W14">
        <v>0</v>
      </c>
      <c r="X14">
        <v>0</v>
      </c>
      <c r="Y14" t="str">
        <f t="shared" si="0"/>
        <v>Irrecuperable</v>
      </c>
      <c r="Z14">
        <f t="shared" si="1"/>
        <v>5</v>
      </c>
      <c r="AB14" t="e">
        <f>VLOOKUP(A14,rubros_a_considerar!$A$2:$A$13,1,FALSE)</f>
        <v>#N/A</v>
      </c>
      <c r="AO14" t="str">
        <f>IFERROR(VLOOKUP(A14,Diccionario!$C$2:$E$65,3,FALSE),"no")</f>
        <v>Créditos clasificados irrecuperables</v>
      </c>
    </row>
    <row r="15" spans="1:43" x14ac:dyDescent="0.35">
      <c r="A15">
        <v>711046013</v>
      </c>
      <c r="B15">
        <v>80</v>
      </c>
      <c r="C15">
        <v>54076</v>
      </c>
      <c r="D15">
        <v>54076</v>
      </c>
      <c r="E15">
        <v>0</v>
      </c>
      <c r="F15" s="1">
        <v>46142</v>
      </c>
      <c r="G15" s="1" t="s">
        <v>96</v>
      </c>
      <c r="H15" s="1">
        <v>45288</v>
      </c>
      <c r="I15">
        <v>0</v>
      </c>
      <c r="J15">
        <v>0</v>
      </c>
      <c r="K15" s="11">
        <v>0</v>
      </c>
      <c r="L15">
        <v>0</v>
      </c>
      <c r="M15">
        <v>0</v>
      </c>
      <c r="N15" t="s">
        <v>92</v>
      </c>
      <c r="O15" t="s">
        <v>173</v>
      </c>
      <c r="P15">
        <v>999</v>
      </c>
      <c r="Q15" s="1" t="s">
        <v>94</v>
      </c>
      <c r="R15" s="12">
        <v>45288</v>
      </c>
      <c r="S15" s="12">
        <v>0</v>
      </c>
      <c r="T15" s="12">
        <v>-2147.09</v>
      </c>
      <c r="U15" s="12">
        <v>-1.55</v>
      </c>
      <c r="V15" s="12">
        <v>-2147.09</v>
      </c>
      <c r="W15" s="12">
        <v>0</v>
      </c>
      <c r="X15">
        <v>0</v>
      </c>
      <c r="Y15" t="str">
        <f t="shared" si="0"/>
        <v>Irrecuperable</v>
      </c>
      <c r="Z15">
        <f t="shared" si="1"/>
        <v>5</v>
      </c>
      <c r="AB15" t="e">
        <f>VLOOKUP(A15,rubros_a_considerar!$A$2:$A$13,1,FALSE)</f>
        <v>#N/A</v>
      </c>
      <c r="AO15" t="str">
        <f>IFERROR(VLOOKUP(A15,Diccionario!$C$2:$E$65,3,FALSE),"no")</f>
        <v>Créditos clasificados irrecuperables</v>
      </c>
    </row>
    <row r="16" spans="1:43" x14ac:dyDescent="0.35">
      <c r="A16">
        <v>711046013</v>
      </c>
      <c r="B16">
        <v>80</v>
      </c>
      <c r="C16">
        <v>54113</v>
      </c>
      <c r="D16">
        <v>54113</v>
      </c>
      <c r="E16">
        <v>0</v>
      </c>
      <c r="F16" s="1">
        <v>46142</v>
      </c>
      <c r="G16" s="1" t="s">
        <v>96</v>
      </c>
      <c r="H16" s="1">
        <v>45099</v>
      </c>
      <c r="I16">
        <v>0</v>
      </c>
      <c r="J16">
        <v>0</v>
      </c>
      <c r="K16" s="11">
        <v>0</v>
      </c>
      <c r="L16">
        <v>0</v>
      </c>
      <c r="M16">
        <v>0</v>
      </c>
      <c r="N16" t="s">
        <v>92</v>
      </c>
      <c r="O16" t="s">
        <v>173</v>
      </c>
      <c r="P16">
        <v>999</v>
      </c>
      <c r="Q16" s="1" t="s">
        <v>94</v>
      </c>
      <c r="R16" s="12">
        <v>45099</v>
      </c>
      <c r="S16" s="12">
        <v>0</v>
      </c>
      <c r="T16" s="12">
        <v>-1959.28</v>
      </c>
      <c r="U16" s="12">
        <v>-1.42</v>
      </c>
      <c r="V16" s="12">
        <v>-1959.28</v>
      </c>
      <c r="W16" s="12">
        <v>0</v>
      </c>
      <c r="X16">
        <v>0</v>
      </c>
      <c r="Y16" t="str">
        <f t="shared" si="0"/>
        <v>Irrecuperable</v>
      </c>
      <c r="Z16">
        <f t="shared" si="1"/>
        <v>5</v>
      </c>
      <c r="AB16" t="e">
        <f>VLOOKUP(A16,rubros_a_considerar!$A$2:$A$13,1,FALSE)</f>
        <v>#N/A</v>
      </c>
      <c r="AO16" t="str">
        <f>IFERROR(VLOOKUP(A16,Diccionario!$C$2:$E$65,3,FALSE),"no")</f>
        <v>Créditos clasificados irrecuperables</v>
      </c>
    </row>
    <row r="17" spans="1:41" x14ac:dyDescent="0.35">
      <c r="A17">
        <v>711046008</v>
      </c>
      <c r="B17">
        <v>80</v>
      </c>
      <c r="C17">
        <v>54595</v>
      </c>
      <c r="D17">
        <v>37939</v>
      </c>
      <c r="E17">
        <v>0</v>
      </c>
      <c r="F17" s="1">
        <v>46142</v>
      </c>
      <c r="G17" s="1" t="s">
        <v>96</v>
      </c>
      <c r="H17" s="1">
        <v>42082</v>
      </c>
      <c r="I17">
        <v>0</v>
      </c>
      <c r="J17">
        <v>0</v>
      </c>
      <c r="K17" s="11">
        <v>0</v>
      </c>
      <c r="L17">
        <v>0</v>
      </c>
      <c r="M17">
        <v>0</v>
      </c>
      <c r="N17" t="s">
        <v>92</v>
      </c>
      <c r="O17" t="s">
        <v>173</v>
      </c>
      <c r="P17">
        <v>999</v>
      </c>
      <c r="Q17" s="1" t="s">
        <v>94</v>
      </c>
      <c r="R17" s="12">
        <v>42082</v>
      </c>
      <c r="S17" s="12">
        <v>0</v>
      </c>
      <c r="T17" s="12">
        <v>-349.69</v>
      </c>
      <c r="U17" s="12">
        <v>-0.25</v>
      </c>
      <c r="V17" s="12">
        <v>-349.69</v>
      </c>
      <c r="W17" s="12">
        <v>0</v>
      </c>
      <c r="X17">
        <v>0</v>
      </c>
      <c r="Y17" t="str">
        <f t="shared" si="0"/>
        <v>Irrecuperable</v>
      </c>
      <c r="Z17">
        <f t="shared" si="1"/>
        <v>5</v>
      </c>
      <c r="AB17" t="e">
        <f>VLOOKUP(A17,rubros_a_considerar!$A$2:$A$13,1,FALSE)</f>
        <v>#N/A</v>
      </c>
      <c r="AO17" t="str">
        <f>IFERROR(VLOOKUP(A17,Diccionario!$C$2:$E$65,3,FALSE),"no")</f>
        <v>Créditos clasificados irrecuperables</v>
      </c>
    </row>
    <row r="18" spans="1:41" x14ac:dyDescent="0.35">
      <c r="A18">
        <v>711046008</v>
      </c>
      <c r="B18">
        <v>80</v>
      </c>
      <c r="C18">
        <v>55325</v>
      </c>
      <c r="D18">
        <v>37969</v>
      </c>
      <c r="E18">
        <v>0</v>
      </c>
      <c r="F18" s="1">
        <v>46142</v>
      </c>
      <c r="G18" s="1" t="s">
        <v>96</v>
      </c>
      <c r="H18" s="1">
        <v>41988</v>
      </c>
      <c r="I18">
        <v>0</v>
      </c>
      <c r="J18">
        <v>0</v>
      </c>
      <c r="K18" s="11">
        <v>0</v>
      </c>
      <c r="L18">
        <v>0</v>
      </c>
      <c r="M18">
        <v>0</v>
      </c>
      <c r="N18" t="s">
        <v>92</v>
      </c>
      <c r="O18" t="s">
        <v>173</v>
      </c>
      <c r="P18">
        <v>999</v>
      </c>
      <c r="Q18" s="1" t="s">
        <v>94</v>
      </c>
      <c r="R18" s="12">
        <v>41988</v>
      </c>
      <c r="S18" s="12">
        <v>0</v>
      </c>
      <c r="T18" s="12">
        <v>-4467.72</v>
      </c>
      <c r="U18" s="12">
        <v>-3.23</v>
      </c>
      <c r="V18" s="12">
        <v>-4467.72</v>
      </c>
      <c r="W18" s="12">
        <v>0</v>
      </c>
      <c r="X18">
        <v>0</v>
      </c>
      <c r="Y18" t="str">
        <f t="shared" si="0"/>
        <v>Irrecuperable</v>
      </c>
      <c r="Z18">
        <f t="shared" si="1"/>
        <v>5</v>
      </c>
      <c r="AB18" t="e">
        <f>VLOOKUP(A18,rubros_a_considerar!$A$2:$A$13,1,FALSE)</f>
        <v>#N/A</v>
      </c>
      <c r="AO18" t="str">
        <f>IFERROR(VLOOKUP(A18,Diccionario!$C$2:$E$65,3,FALSE),"no")</f>
        <v>Créditos clasificados irrecuperables</v>
      </c>
    </row>
    <row r="19" spans="1:41" x14ac:dyDescent="0.35">
      <c r="A19">
        <v>711046008</v>
      </c>
      <c r="B19">
        <v>80</v>
      </c>
      <c r="C19">
        <v>56390</v>
      </c>
      <c r="D19">
        <v>35830</v>
      </c>
      <c r="E19">
        <v>0</v>
      </c>
      <c r="F19" s="1">
        <v>46142</v>
      </c>
      <c r="G19" s="1" t="s">
        <v>96</v>
      </c>
      <c r="H19" s="1">
        <v>40175</v>
      </c>
      <c r="I19">
        <v>0</v>
      </c>
      <c r="J19">
        <v>0</v>
      </c>
      <c r="K19" s="11">
        <v>0</v>
      </c>
      <c r="L19">
        <v>0</v>
      </c>
      <c r="M19">
        <v>0</v>
      </c>
      <c r="N19" t="s">
        <v>92</v>
      </c>
      <c r="O19" t="s">
        <v>173</v>
      </c>
      <c r="P19">
        <v>999</v>
      </c>
      <c r="Q19" s="1" t="s">
        <v>94</v>
      </c>
      <c r="R19" s="12">
        <v>40175</v>
      </c>
      <c r="S19" s="12">
        <v>0</v>
      </c>
      <c r="T19" s="12">
        <v>-404.87</v>
      </c>
      <c r="U19" s="12">
        <v>-0.28999999999999998</v>
      </c>
      <c r="V19" s="12">
        <v>-404.87</v>
      </c>
      <c r="W19" s="12">
        <v>0</v>
      </c>
      <c r="X19">
        <v>0</v>
      </c>
      <c r="Y19" t="str">
        <f t="shared" si="0"/>
        <v>Irrecuperable</v>
      </c>
      <c r="Z19">
        <f t="shared" si="1"/>
        <v>5</v>
      </c>
      <c r="AB19" t="e">
        <f>VLOOKUP(A19,rubros_a_considerar!$A$2:$A$13,1,FALSE)</f>
        <v>#N/A</v>
      </c>
      <c r="AO19" t="str">
        <f>IFERROR(VLOOKUP(A19,Diccionario!$C$2:$E$65,3,FALSE),"no")</f>
        <v>Créditos clasificados irrecuperables</v>
      </c>
    </row>
    <row r="20" spans="1:41" x14ac:dyDescent="0.35">
      <c r="A20">
        <v>711046008</v>
      </c>
      <c r="B20">
        <v>80</v>
      </c>
      <c r="C20">
        <v>56784</v>
      </c>
      <c r="D20">
        <v>38644</v>
      </c>
      <c r="E20">
        <v>0</v>
      </c>
      <c r="F20" s="1">
        <v>46142</v>
      </c>
      <c r="G20" s="1" t="s">
        <v>96</v>
      </c>
      <c r="H20" s="1">
        <v>42695</v>
      </c>
      <c r="I20">
        <v>0</v>
      </c>
      <c r="J20">
        <v>0</v>
      </c>
      <c r="K20" s="11">
        <v>0</v>
      </c>
      <c r="L20">
        <v>0</v>
      </c>
      <c r="M20">
        <v>0</v>
      </c>
      <c r="N20" t="s">
        <v>92</v>
      </c>
      <c r="O20" t="s">
        <v>173</v>
      </c>
      <c r="P20">
        <v>999</v>
      </c>
      <c r="Q20" s="1" t="s">
        <v>94</v>
      </c>
      <c r="R20" s="12">
        <v>42695</v>
      </c>
      <c r="S20" s="12">
        <v>0</v>
      </c>
      <c r="T20" s="12">
        <v>-765.25</v>
      </c>
      <c r="U20" s="12">
        <v>-0.55000000000000004</v>
      </c>
      <c r="V20" s="12">
        <v>-765.25</v>
      </c>
      <c r="W20" s="12">
        <v>0</v>
      </c>
      <c r="X20">
        <v>0</v>
      </c>
      <c r="Y20" t="str">
        <f t="shared" si="0"/>
        <v>Irrecuperable</v>
      </c>
      <c r="Z20">
        <f t="shared" si="1"/>
        <v>5</v>
      </c>
      <c r="AB20" t="e">
        <f>VLOOKUP(A20,rubros_a_considerar!$A$2:$A$13,1,FALSE)</f>
        <v>#N/A</v>
      </c>
      <c r="AO20" t="str">
        <f>IFERROR(VLOOKUP(A20,Diccionario!$C$2:$E$65,3,FALSE),"no")</f>
        <v>Créditos clasificados irrecuperables</v>
      </c>
    </row>
    <row r="21" spans="1:41" x14ac:dyDescent="0.35">
      <c r="A21">
        <v>711046008</v>
      </c>
      <c r="B21">
        <v>80</v>
      </c>
      <c r="C21">
        <v>56833</v>
      </c>
      <c r="D21">
        <v>39086</v>
      </c>
      <c r="E21">
        <v>0</v>
      </c>
      <c r="F21" s="1">
        <v>46142</v>
      </c>
      <c r="G21" s="1" t="s">
        <v>96</v>
      </c>
      <c r="H21" s="1">
        <v>43068</v>
      </c>
      <c r="I21">
        <v>0</v>
      </c>
      <c r="J21">
        <v>0</v>
      </c>
      <c r="K21" s="11">
        <v>0</v>
      </c>
      <c r="L21">
        <v>0</v>
      </c>
      <c r="M21">
        <v>0</v>
      </c>
      <c r="N21" t="s">
        <v>92</v>
      </c>
      <c r="O21" t="s">
        <v>173</v>
      </c>
      <c r="P21">
        <v>999</v>
      </c>
      <c r="Q21" s="1" t="s">
        <v>94</v>
      </c>
      <c r="R21" s="12">
        <v>43068</v>
      </c>
      <c r="S21" s="12">
        <v>0</v>
      </c>
      <c r="T21" s="12">
        <v>-5738.03</v>
      </c>
      <c r="U21" s="12">
        <v>-4.1500000000000004</v>
      </c>
      <c r="V21" s="12">
        <v>-5738.03</v>
      </c>
      <c r="W21" s="12">
        <v>0</v>
      </c>
      <c r="X21">
        <v>0</v>
      </c>
      <c r="Y21" t="str">
        <f t="shared" si="0"/>
        <v>Irrecuperable</v>
      </c>
      <c r="Z21">
        <f t="shared" si="1"/>
        <v>5</v>
      </c>
      <c r="AB21" t="e">
        <f>VLOOKUP(A21,rubros_a_considerar!$A$2:$A$13,1,FALSE)</f>
        <v>#N/A</v>
      </c>
      <c r="AO21" t="str">
        <f>IFERROR(VLOOKUP(A21,Diccionario!$C$2:$E$65,3,FALSE),"no")</f>
        <v>Créditos clasificados irrecuperables</v>
      </c>
    </row>
    <row r="22" spans="1:41" x14ac:dyDescent="0.35">
      <c r="A22">
        <v>711046008</v>
      </c>
      <c r="B22">
        <v>80</v>
      </c>
      <c r="C22">
        <v>56936</v>
      </c>
      <c r="D22">
        <v>38468</v>
      </c>
      <c r="E22">
        <v>0</v>
      </c>
      <c r="F22" s="1">
        <v>46142</v>
      </c>
      <c r="G22" s="1" t="s">
        <v>96</v>
      </c>
      <c r="H22" s="1">
        <v>42333</v>
      </c>
      <c r="I22">
        <v>0</v>
      </c>
      <c r="J22">
        <v>0</v>
      </c>
      <c r="K22" s="11">
        <v>0</v>
      </c>
      <c r="L22">
        <v>0</v>
      </c>
      <c r="M22">
        <v>0</v>
      </c>
      <c r="N22" t="s">
        <v>92</v>
      </c>
      <c r="O22" t="s">
        <v>173</v>
      </c>
      <c r="P22">
        <v>999</v>
      </c>
      <c r="Q22" s="1" t="s">
        <v>94</v>
      </c>
      <c r="R22" s="12">
        <v>42333</v>
      </c>
      <c r="S22" s="12">
        <v>0</v>
      </c>
      <c r="T22" s="12">
        <v>-2938.78</v>
      </c>
      <c r="U22" s="12">
        <v>-2.13</v>
      </c>
      <c r="V22" s="12">
        <v>-2938.78</v>
      </c>
      <c r="W22" s="12">
        <v>0</v>
      </c>
      <c r="X22">
        <v>0</v>
      </c>
      <c r="Y22" t="str">
        <f t="shared" si="0"/>
        <v>Irrecuperable</v>
      </c>
      <c r="Z22">
        <f t="shared" si="1"/>
        <v>5</v>
      </c>
      <c r="AB22" t="e">
        <f>VLOOKUP(A22,rubros_a_considerar!$A$2:$A$13,1,FALSE)</f>
        <v>#N/A</v>
      </c>
      <c r="AO22" t="str">
        <f>IFERROR(VLOOKUP(A22,Diccionario!$C$2:$E$65,3,FALSE),"no")</f>
        <v>Créditos clasificados irrecuperables</v>
      </c>
    </row>
    <row r="23" spans="1:41" x14ac:dyDescent="0.35">
      <c r="A23">
        <v>711046008</v>
      </c>
      <c r="B23">
        <v>80</v>
      </c>
      <c r="C23">
        <v>57221</v>
      </c>
      <c r="D23">
        <v>36021</v>
      </c>
      <c r="E23">
        <v>0</v>
      </c>
      <c r="F23" s="1">
        <v>46142</v>
      </c>
      <c r="G23" s="1" t="s">
        <v>96</v>
      </c>
      <c r="H23" s="1">
        <v>40800</v>
      </c>
      <c r="I23" s="12">
        <v>0</v>
      </c>
      <c r="J23" s="12">
        <v>0</v>
      </c>
      <c r="K23" s="12">
        <v>0</v>
      </c>
      <c r="L23" s="12">
        <v>0</v>
      </c>
      <c r="M23">
        <v>0</v>
      </c>
      <c r="N23" t="s">
        <v>92</v>
      </c>
      <c r="O23" t="s">
        <v>173</v>
      </c>
      <c r="P23">
        <v>999</v>
      </c>
      <c r="Q23" t="s">
        <v>94</v>
      </c>
      <c r="R23">
        <v>40800</v>
      </c>
      <c r="S23">
        <v>0</v>
      </c>
      <c r="T23">
        <v>-235.89</v>
      </c>
      <c r="U23">
        <v>-0.17</v>
      </c>
      <c r="V23">
        <v>-235.89</v>
      </c>
      <c r="W23">
        <v>0</v>
      </c>
      <c r="X23">
        <v>0</v>
      </c>
      <c r="Y23" t="str">
        <f t="shared" si="0"/>
        <v>Irrecuperable</v>
      </c>
      <c r="Z23">
        <f t="shared" si="1"/>
        <v>5</v>
      </c>
      <c r="AB23" t="e">
        <f>VLOOKUP(A23,rubros_a_considerar!$A$2:$A$13,1,FALSE)</f>
        <v>#N/A</v>
      </c>
      <c r="AO23" t="str">
        <f>IFERROR(VLOOKUP(A23,Diccionario!$C$2:$E$65,3,FALSE),"no")</f>
        <v>Créditos clasificados irrecuperables</v>
      </c>
    </row>
    <row r="24" spans="1:41" x14ac:dyDescent="0.35">
      <c r="A24">
        <v>711046008</v>
      </c>
      <c r="B24">
        <v>80</v>
      </c>
      <c r="C24">
        <v>57248</v>
      </c>
      <c r="D24">
        <v>40444</v>
      </c>
      <c r="E24">
        <v>0</v>
      </c>
      <c r="F24" s="1">
        <v>46142</v>
      </c>
      <c r="G24" s="1" t="s">
        <v>96</v>
      </c>
      <c r="H24" s="1">
        <v>44084</v>
      </c>
      <c r="I24" s="12">
        <v>0</v>
      </c>
      <c r="J24" s="12">
        <v>0</v>
      </c>
      <c r="K24" s="12">
        <v>0</v>
      </c>
      <c r="L24" s="12">
        <v>0</v>
      </c>
      <c r="M24">
        <v>0</v>
      </c>
      <c r="N24" t="s">
        <v>92</v>
      </c>
      <c r="O24" t="s">
        <v>173</v>
      </c>
      <c r="P24">
        <v>999</v>
      </c>
      <c r="Q24" t="s">
        <v>94</v>
      </c>
      <c r="R24">
        <v>44084</v>
      </c>
      <c r="S24">
        <v>0</v>
      </c>
      <c r="T24">
        <v>-2905.39</v>
      </c>
      <c r="U24">
        <v>-2.1</v>
      </c>
      <c r="V24">
        <v>-2905.39</v>
      </c>
      <c r="W24">
        <v>0</v>
      </c>
      <c r="X24">
        <v>0</v>
      </c>
      <c r="Y24" t="str">
        <f t="shared" si="0"/>
        <v>Irrecuperable</v>
      </c>
      <c r="Z24">
        <f t="shared" si="1"/>
        <v>5</v>
      </c>
      <c r="AB24" t="e">
        <f>VLOOKUP(A24,rubros_a_considerar!$A$2:$A$13,1,FALSE)</f>
        <v>#N/A</v>
      </c>
      <c r="AO24" t="str">
        <f>IFERROR(VLOOKUP(A24,Diccionario!$C$2:$E$65,3,FALSE),"no")</f>
        <v>Créditos clasificados irrecuperables</v>
      </c>
    </row>
    <row r="25" spans="1:41" x14ac:dyDescent="0.35">
      <c r="A25">
        <v>711046008</v>
      </c>
      <c r="B25">
        <v>80</v>
      </c>
      <c r="C25">
        <v>58178</v>
      </c>
      <c r="D25">
        <v>35433</v>
      </c>
      <c r="E25">
        <v>0</v>
      </c>
      <c r="F25" s="1">
        <v>46142</v>
      </c>
      <c r="G25" s="1" t="s">
        <v>96</v>
      </c>
      <c r="H25" s="1">
        <v>40128</v>
      </c>
      <c r="I25">
        <v>0</v>
      </c>
      <c r="J25">
        <v>0</v>
      </c>
      <c r="K25" s="11">
        <v>0</v>
      </c>
      <c r="L25">
        <v>0</v>
      </c>
      <c r="M25">
        <v>0</v>
      </c>
      <c r="N25" t="s">
        <v>92</v>
      </c>
      <c r="O25" t="s">
        <v>173</v>
      </c>
      <c r="P25">
        <v>999</v>
      </c>
      <c r="Q25" s="1" t="s">
        <v>94</v>
      </c>
      <c r="R25" s="12">
        <v>40128</v>
      </c>
      <c r="S25" s="12">
        <v>0</v>
      </c>
      <c r="T25" s="12">
        <v>-262.19</v>
      </c>
      <c r="U25" s="12">
        <v>-0.19</v>
      </c>
      <c r="V25" s="12">
        <v>-262.19</v>
      </c>
      <c r="W25" s="12">
        <v>0</v>
      </c>
      <c r="X25">
        <v>0</v>
      </c>
      <c r="Y25" t="str">
        <f t="shared" si="0"/>
        <v>Irrecuperable</v>
      </c>
      <c r="Z25">
        <f t="shared" si="1"/>
        <v>5</v>
      </c>
      <c r="AB25" t="e">
        <f>VLOOKUP(A25,rubros_a_considerar!$A$2:$A$13,1,FALSE)</f>
        <v>#N/A</v>
      </c>
      <c r="AO25" t="str">
        <f>IFERROR(VLOOKUP(A25,Diccionario!$C$2:$E$65,3,FALSE),"no")</f>
        <v>Créditos clasificados irrecuperables</v>
      </c>
    </row>
    <row r="26" spans="1:41" x14ac:dyDescent="0.35">
      <c r="A26">
        <v>711046008</v>
      </c>
      <c r="B26">
        <v>80</v>
      </c>
      <c r="C26">
        <v>58178</v>
      </c>
      <c r="D26">
        <v>35323</v>
      </c>
      <c r="E26">
        <v>0</v>
      </c>
      <c r="F26" s="1">
        <v>46142</v>
      </c>
      <c r="G26" s="1" t="s">
        <v>96</v>
      </c>
      <c r="H26" s="1">
        <v>40128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92</v>
      </c>
      <c r="O26" t="s">
        <v>173</v>
      </c>
      <c r="P26">
        <v>999</v>
      </c>
      <c r="Q26" t="s">
        <v>94</v>
      </c>
      <c r="R26">
        <v>40128</v>
      </c>
      <c r="S26">
        <v>0</v>
      </c>
      <c r="T26">
        <v>-1532.62</v>
      </c>
      <c r="U26">
        <v>-1.1100000000000001</v>
      </c>
      <c r="V26">
        <v>-1532.62</v>
      </c>
      <c r="W26">
        <v>0</v>
      </c>
      <c r="X26">
        <v>0</v>
      </c>
      <c r="Y26" t="str">
        <f t="shared" si="0"/>
        <v>Irrecuperable</v>
      </c>
      <c r="Z26">
        <f t="shared" si="1"/>
        <v>5</v>
      </c>
      <c r="AB26" t="e">
        <f>VLOOKUP(A26,rubros_a_considerar!$A$2:$A$13,1,FALSE)</f>
        <v>#N/A</v>
      </c>
      <c r="AO26" t="str">
        <f>IFERROR(VLOOKUP(A26,Diccionario!$C$2:$E$65,3,FALSE),"no")</f>
        <v>Créditos clasificados irrecuperables</v>
      </c>
    </row>
    <row r="27" spans="1:41" x14ac:dyDescent="0.35">
      <c r="A27">
        <v>711046013</v>
      </c>
      <c r="B27">
        <v>80</v>
      </c>
      <c r="C27">
        <v>58194</v>
      </c>
      <c r="D27">
        <v>58194</v>
      </c>
      <c r="E27">
        <v>0</v>
      </c>
      <c r="F27" s="1">
        <v>46142</v>
      </c>
      <c r="G27" s="1" t="s">
        <v>96</v>
      </c>
      <c r="H27" s="1">
        <v>43980</v>
      </c>
      <c r="I27">
        <v>0</v>
      </c>
      <c r="J27">
        <v>0</v>
      </c>
      <c r="K27" s="11">
        <v>0</v>
      </c>
      <c r="L27">
        <v>0</v>
      </c>
      <c r="M27">
        <v>0</v>
      </c>
      <c r="N27" t="s">
        <v>92</v>
      </c>
      <c r="O27" t="s">
        <v>173</v>
      </c>
      <c r="P27">
        <v>999</v>
      </c>
      <c r="Q27" s="1" t="s">
        <v>94</v>
      </c>
      <c r="R27" s="12">
        <v>43980</v>
      </c>
      <c r="S27" s="12">
        <v>0</v>
      </c>
      <c r="T27" s="12">
        <v>-121736.65</v>
      </c>
      <c r="U27" s="12">
        <v>-88.14</v>
      </c>
      <c r="V27" s="12">
        <v>-121736.65</v>
      </c>
      <c r="W27" s="12">
        <v>0</v>
      </c>
      <c r="X27">
        <v>0</v>
      </c>
      <c r="Y27" t="str">
        <f t="shared" si="0"/>
        <v>Irrecuperable</v>
      </c>
      <c r="Z27">
        <f t="shared" si="1"/>
        <v>5</v>
      </c>
      <c r="AB27" t="e">
        <f>VLOOKUP(A27,rubros_a_considerar!$A$2:$A$13,1,FALSE)</f>
        <v>#N/A</v>
      </c>
      <c r="AO27" t="str">
        <f>IFERROR(VLOOKUP(A27,Diccionario!$C$2:$E$65,3,FALSE),"no")</f>
        <v>Créditos clasificados irrecuperables</v>
      </c>
    </row>
    <row r="28" spans="1:41" x14ac:dyDescent="0.35">
      <c r="A28">
        <v>711046008</v>
      </c>
      <c r="B28">
        <v>80</v>
      </c>
      <c r="C28">
        <v>58301</v>
      </c>
      <c r="D28">
        <v>36744</v>
      </c>
      <c r="E28">
        <v>0</v>
      </c>
      <c r="F28" s="1">
        <v>46142</v>
      </c>
      <c r="G28" s="1" t="s">
        <v>96</v>
      </c>
      <c r="H28" s="1">
        <v>41131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92</v>
      </c>
      <c r="O28" t="s">
        <v>173</v>
      </c>
      <c r="P28">
        <v>999</v>
      </c>
      <c r="Q28" t="s">
        <v>94</v>
      </c>
      <c r="R28">
        <v>41131</v>
      </c>
      <c r="S28">
        <v>0</v>
      </c>
      <c r="T28">
        <v>-952.78</v>
      </c>
      <c r="U28">
        <v>-0.69</v>
      </c>
      <c r="V28">
        <v>-952.78</v>
      </c>
      <c r="W28">
        <v>0</v>
      </c>
      <c r="X28">
        <v>0</v>
      </c>
      <c r="Y28" t="str">
        <f t="shared" si="0"/>
        <v>Irrecuperable</v>
      </c>
      <c r="Z28">
        <f t="shared" si="1"/>
        <v>5</v>
      </c>
      <c r="AB28" t="e">
        <f>VLOOKUP(A28,rubros_a_considerar!$A$2:$A$13,1,FALSE)</f>
        <v>#N/A</v>
      </c>
      <c r="AO28" t="str">
        <f>IFERROR(VLOOKUP(A28,Diccionario!$C$2:$E$65,3,FALSE),"no")</f>
        <v>Créditos clasificados irrecuperables</v>
      </c>
    </row>
    <row r="29" spans="1:41" x14ac:dyDescent="0.35">
      <c r="A29">
        <v>711046008</v>
      </c>
      <c r="B29">
        <v>80</v>
      </c>
      <c r="C29">
        <v>58403</v>
      </c>
      <c r="D29">
        <v>36438</v>
      </c>
      <c r="E29">
        <v>0</v>
      </c>
      <c r="F29" s="1">
        <v>46142</v>
      </c>
      <c r="G29" s="1" t="s">
        <v>96</v>
      </c>
      <c r="H29" s="1">
        <v>40877</v>
      </c>
      <c r="I29">
        <v>0</v>
      </c>
      <c r="J29">
        <v>0</v>
      </c>
      <c r="K29" s="11">
        <v>0</v>
      </c>
      <c r="L29">
        <v>0</v>
      </c>
      <c r="M29">
        <v>0</v>
      </c>
      <c r="N29" t="s">
        <v>92</v>
      </c>
      <c r="O29" t="s">
        <v>173</v>
      </c>
      <c r="P29">
        <v>999</v>
      </c>
      <c r="Q29" s="1" t="s">
        <v>94</v>
      </c>
      <c r="R29" s="12">
        <v>40877</v>
      </c>
      <c r="S29" s="12">
        <v>0</v>
      </c>
      <c r="T29" s="12">
        <v>-3768.29</v>
      </c>
      <c r="U29" s="12">
        <v>-2.73</v>
      </c>
      <c r="V29" s="12">
        <v>-3768.29</v>
      </c>
      <c r="W29" s="12">
        <v>0</v>
      </c>
      <c r="X29">
        <v>0</v>
      </c>
      <c r="Y29" t="str">
        <f t="shared" si="0"/>
        <v>Irrecuperable</v>
      </c>
      <c r="Z29">
        <f t="shared" si="1"/>
        <v>5</v>
      </c>
      <c r="AB29" t="e">
        <f>VLOOKUP(A29,rubros_a_considerar!$A$2:$A$13,1,FALSE)</f>
        <v>#N/A</v>
      </c>
      <c r="AO29" t="str">
        <f>IFERROR(VLOOKUP(A29,Diccionario!$C$2:$E$65,3,FALSE),"no")</f>
        <v>Créditos clasificados irrecuperables</v>
      </c>
    </row>
    <row r="30" spans="1:41" x14ac:dyDescent="0.35">
      <c r="A30">
        <v>711046008</v>
      </c>
      <c r="B30">
        <v>80</v>
      </c>
      <c r="C30">
        <v>58628</v>
      </c>
      <c r="D30">
        <v>40588</v>
      </c>
      <c r="E30">
        <v>0</v>
      </c>
      <c r="F30" s="1">
        <v>46142</v>
      </c>
      <c r="G30" s="1" t="s">
        <v>96</v>
      </c>
      <c r="H30" s="1">
        <v>44008</v>
      </c>
      <c r="I30">
        <v>0</v>
      </c>
      <c r="J30">
        <v>0</v>
      </c>
      <c r="K30" s="11">
        <v>0</v>
      </c>
      <c r="L30">
        <v>0</v>
      </c>
      <c r="M30">
        <v>0</v>
      </c>
      <c r="N30" t="s">
        <v>92</v>
      </c>
      <c r="O30" t="s">
        <v>173</v>
      </c>
      <c r="P30">
        <v>999</v>
      </c>
      <c r="Q30" s="1" t="s">
        <v>94</v>
      </c>
      <c r="R30" s="12">
        <v>44008</v>
      </c>
      <c r="S30" s="12">
        <v>0</v>
      </c>
      <c r="T30" s="12">
        <v>-10732.22</v>
      </c>
      <c r="U30" s="12">
        <v>-7.77</v>
      </c>
      <c r="V30" s="12">
        <v>-10732.22</v>
      </c>
      <c r="W30" s="12">
        <v>0</v>
      </c>
      <c r="X30">
        <v>0</v>
      </c>
      <c r="Y30" t="str">
        <f t="shared" si="0"/>
        <v>Irrecuperable</v>
      </c>
      <c r="Z30">
        <f t="shared" si="1"/>
        <v>5</v>
      </c>
      <c r="AB30" t="e">
        <f>VLOOKUP(A30,rubros_a_considerar!$A$2:$A$13,1,FALSE)</f>
        <v>#N/A</v>
      </c>
      <c r="AO30" t="str">
        <f>IFERROR(VLOOKUP(A30,Diccionario!$C$2:$E$65,3,FALSE),"no")</f>
        <v>Créditos clasificados irrecuperables</v>
      </c>
    </row>
    <row r="31" spans="1:41" x14ac:dyDescent="0.35">
      <c r="A31">
        <v>711046008</v>
      </c>
      <c r="B31">
        <v>80</v>
      </c>
      <c r="C31">
        <v>58743</v>
      </c>
      <c r="D31">
        <v>36378</v>
      </c>
      <c r="E31">
        <v>0</v>
      </c>
      <c r="F31" s="1">
        <v>46142</v>
      </c>
      <c r="G31" s="1" t="s">
        <v>96</v>
      </c>
      <c r="H31" s="1">
        <v>40947</v>
      </c>
      <c r="I31">
        <v>0</v>
      </c>
      <c r="J31">
        <v>0</v>
      </c>
      <c r="K31" s="11">
        <v>0</v>
      </c>
      <c r="L31">
        <v>0</v>
      </c>
      <c r="M31">
        <v>0</v>
      </c>
      <c r="N31" t="s">
        <v>92</v>
      </c>
      <c r="O31" t="s">
        <v>173</v>
      </c>
      <c r="P31">
        <v>999</v>
      </c>
      <c r="Q31" s="1" t="s">
        <v>94</v>
      </c>
      <c r="R31" s="12">
        <v>40947</v>
      </c>
      <c r="S31" s="12">
        <v>0</v>
      </c>
      <c r="T31" s="12">
        <v>-557.07000000000005</v>
      </c>
      <c r="U31" s="12">
        <v>-0.4</v>
      </c>
      <c r="V31" s="12">
        <v>-557.07000000000005</v>
      </c>
      <c r="W31" s="12">
        <v>0</v>
      </c>
      <c r="X31">
        <v>0</v>
      </c>
      <c r="Y31" t="str">
        <f t="shared" si="0"/>
        <v>Irrecuperable</v>
      </c>
      <c r="Z31">
        <f t="shared" si="1"/>
        <v>5</v>
      </c>
      <c r="AB31" t="e">
        <f>VLOOKUP(A31,rubros_a_considerar!$A$2:$A$13,1,FALSE)</f>
        <v>#N/A</v>
      </c>
      <c r="AO31" t="str">
        <f>IFERROR(VLOOKUP(A31,Diccionario!$C$2:$E$65,3,FALSE),"no")</f>
        <v>Créditos clasificados irrecuperables</v>
      </c>
    </row>
    <row r="32" spans="1:41" x14ac:dyDescent="0.35">
      <c r="A32">
        <v>711046008</v>
      </c>
      <c r="B32">
        <v>80</v>
      </c>
      <c r="C32">
        <v>58826</v>
      </c>
      <c r="D32">
        <v>37744</v>
      </c>
      <c r="E32">
        <v>0</v>
      </c>
      <c r="F32" s="1">
        <v>46142</v>
      </c>
      <c r="G32" s="1" t="s">
        <v>96</v>
      </c>
      <c r="H32" s="1">
        <v>41817</v>
      </c>
      <c r="I32">
        <v>0</v>
      </c>
      <c r="J32">
        <v>0</v>
      </c>
      <c r="K32" s="11">
        <v>0</v>
      </c>
      <c r="L32">
        <v>0</v>
      </c>
      <c r="M32">
        <v>0</v>
      </c>
      <c r="N32" t="s">
        <v>92</v>
      </c>
      <c r="O32" t="s">
        <v>173</v>
      </c>
      <c r="P32">
        <v>999</v>
      </c>
      <c r="Q32" s="1" t="s">
        <v>94</v>
      </c>
      <c r="R32" s="12">
        <v>41820</v>
      </c>
      <c r="S32" s="12">
        <v>0</v>
      </c>
      <c r="T32" s="12">
        <v>-1463.19</v>
      </c>
      <c r="U32" s="12">
        <v>-1.06</v>
      </c>
      <c r="V32" s="12">
        <v>-1463.19</v>
      </c>
      <c r="W32" s="12">
        <v>0</v>
      </c>
      <c r="X32">
        <v>0</v>
      </c>
      <c r="Y32" t="str">
        <f t="shared" si="0"/>
        <v>Irrecuperable</v>
      </c>
      <c r="Z32">
        <f t="shared" si="1"/>
        <v>5</v>
      </c>
      <c r="AB32" t="e">
        <f>VLOOKUP(A32,rubros_a_considerar!$A$2:$A$13,1,FALSE)</f>
        <v>#N/A</v>
      </c>
      <c r="AO32" t="str">
        <f>IFERROR(VLOOKUP(A32,Diccionario!$C$2:$E$65,3,FALSE),"no")</f>
        <v>Créditos clasificados irrecuperables</v>
      </c>
    </row>
    <row r="33" spans="1:41" x14ac:dyDescent="0.35">
      <c r="A33">
        <v>711046008</v>
      </c>
      <c r="B33">
        <v>80</v>
      </c>
      <c r="C33">
        <v>58978</v>
      </c>
      <c r="D33">
        <v>36698</v>
      </c>
      <c r="E33">
        <v>0</v>
      </c>
      <c r="F33" s="1">
        <v>46142</v>
      </c>
      <c r="G33" s="1" t="s">
        <v>96</v>
      </c>
      <c r="H33" s="1">
        <v>41075</v>
      </c>
      <c r="I33">
        <v>0</v>
      </c>
      <c r="J33">
        <v>0</v>
      </c>
      <c r="K33" s="11">
        <v>0</v>
      </c>
      <c r="L33">
        <v>0</v>
      </c>
      <c r="M33">
        <v>0</v>
      </c>
      <c r="N33" t="s">
        <v>92</v>
      </c>
      <c r="O33" t="s">
        <v>173</v>
      </c>
      <c r="P33">
        <v>999</v>
      </c>
      <c r="Q33" s="1" t="s">
        <v>94</v>
      </c>
      <c r="R33" s="12">
        <v>41075</v>
      </c>
      <c r="S33" s="12">
        <v>0</v>
      </c>
      <c r="T33" s="12">
        <v>-774.78</v>
      </c>
      <c r="U33" s="12">
        <v>-0.56000000000000005</v>
      </c>
      <c r="V33" s="12">
        <v>-774.78</v>
      </c>
      <c r="W33" s="12">
        <v>0</v>
      </c>
      <c r="X33">
        <v>0</v>
      </c>
      <c r="Y33" t="str">
        <f t="shared" si="0"/>
        <v>Irrecuperable</v>
      </c>
      <c r="Z33">
        <f t="shared" si="1"/>
        <v>5</v>
      </c>
      <c r="AB33" t="e">
        <f>VLOOKUP(A33,rubros_a_considerar!$A$2:$A$13,1,FALSE)</f>
        <v>#N/A</v>
      </c>
      <c r="AO33" t="str">
        <f>IFERROR(VLOOKUP(A33,Diccionario!$C$2:$E$65,3,FALSE),"no")</f>
        <v>Créditos clasificados irrecuperables</v>
      </c>
    </row>
    <row r="34" spans="1:41" x14ac:dyDescent="0.35">
      <c r="A34">
        <v>711046008</v>
      </c>
      <c r="B34">
        <v>80</v>
      </c>
      <c r="C34">
        <v>59475</v>
      </c>
      <c r="D34">
        <v>37003</v>
      </c>
      <c r="E34">
        <v>0</v>
      </c>
      <c r="F34" s="1">
        <v>46142</v>
      </c>
      <c r="G34" s="1" t="s">
        <v>96</v>
      </c>
      <c r="H34" s="1">
        <v>41397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92</v>
      </c>
      <c r="O34" t="s">
        <v>173</v>
      </c>
      <c r="P34">
        <v>999</v>
      </c>
      <c r="Q34" t="s">
        <v>94</v>
      </c>
      <c r="R34">
        <v>41397</v>
      </c>
      <c r="S34">
        <v>0</v>
      </c>
      <c r="T34">
        <v>-427.27</v>
      </c>
      <c r="U34">
        <v>-0.31</v>
      </c>
      <c r="V34">
        <v>-427.27</v>
      </c>
      <c r="W34">
        <v>0</v>
      </c>
      <c r="X34">
        <v>0</v>
      </c>
      <c r="Y34" t="str">
        <f t="shared" si="0"/>
        <v>Irrecuperable</v>
      </c>
      <c r="Z34">
        <f t="shared" si="1"/>
        <v>5</v>
      </c>
      <c r="AB34" t="e">
        <f>VLOOKUP(A34,rubros_a_considerar!$A$2:$A$13,1,FALSE)</f>
        <v>#N/A</v>
      </c>
      <c r="AO34" t="str">
        <f>IFERROR(VLOOKUP(A34,Diccionario!$C$2:$E$65,3,FALSE),"no")</f>
        <v>Créditos clasificados irrecuperables</v>
      </c>
    </row>
    <row r="35" spans="1:41" x14ac:dyDescent="0.35">
      <c r="A35">
        <v>711046008</v>
      </c>
      <c r="B35">
        <v>80</v>
      </c>
      <c r="C35">
        <v>59871</v>
      </c>
      <c r="D35">
        <v>36434</v>
      </c>
      <c r="E35">
        <v>0</v>
      </c>
      <c r="F35" s="1">
        <v>46142</v>
      </c>
      <c r="G35" s="1" t="s">
        <v>96</v>
      </c>
      <c r="H35" s="1">
        <v>41047</v>
      </c>
      <c r="I35">
        <v>0</v>
      </c>
      <c r="J35">
        <v>0</v>
      </c>
      <c r="K35" s="11">
        <v>0</v>
      </c>
      <c r="L35">
        <v>0</v>
      </c>
      <c r="M35">
        <v>0</v>
      </c>
      <c r="N35" t="s">
        <v>92</v>
      </c>
      <c r="O35" t="s">
        <v>173</v>
      </c>
      <c r="P35">
        <v>999</v>
      </c>
      <c r="Q35" s="1" t="s">
        <v>94</v>
      </c>
      <c r="R35" s="12">
        <v>41047</v>
      </c>
      <c r="S35" s="12">
        <v>0</v>
      </c>
      <c r="T35" s="12">
        <v>-475.18</v>
      </c>
      <c r="U35" s="12">
        <v>-0.34</v>
      </c>
      <c r="V35" s="12">
        <v>-475.18</v>
      </c>
      <c r="W35" s="12">
        <v>0</v>
      </c>
      <c r="X35">
        <v>0</v>
      </c>
      <c r="Y35" t="str">
        <f t="shared" si="0"/>
        <v>Irrecuperable</v>
      </c>
      <c r="Z35">
        <f t="shared" si="1"/>
        <v>5</v>
      </c>
      <c r="AB35" t="e">
        <f>VLOOKUP(A35,rubros_a_considerar!$A$2:$A$13,1,FALSE)</f>
        <v>#N/A</v>
      </c>
      <c r="AO35" t="str">
        <f>IFERROR(VLOOKUP(A35,Diccionario!$C$2:$E$65,3,FALSE),"no")</f>
        <v>Créditos clasificados irrecuperables</v>
      </c>
    </row>
    <row r="36" spans="1:41" x14ac:dyDescent="0.35">
      <c r="A36">
        <v>711046008</v>
      </c>
      <c r="B36">
        <v>80</v>
      </c>
      <c r="C36">
        <v>59997</v>
      </c>
      <c r="D36">
        <v>38304</v>
      </c>
      <c r="E36">
        <v>0</v>
      </c>
      <c r="F36" s="1">
        <v>46142</v>
      </c>
      <c r="G36" s="1" t="s">
        <v>96</v>
      </c>
      <c r="H36" s="1">
        <v>42333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92</v>
      </c>
      <c r="O36" t="s">
        <v>173</v>
      </c>
      <c r="P36">
        <v>999</v>
      </c>
      <c r="Q36" t="s">
        <v>94</v>
      </c>
      <c r="R36">
        <v>42333</v>
      </c>
      <c r="S36">
        <v>0</v>
      </c>
      <c r="T36">
        <v>-3350.6</v>
      </c>
      <c r="U36">
        <v>-2.4300000000000002</v>
      </c>
      <c r="V36">
        <v>-3350.6</v>
      </c>
      <c r="W36">
        <v>0</v>
      </c>
      <c r="X36">
        <v>0</v>
      </c>
      <c r="Y36" t="str">
        <f t="shared" si="0"/>
        <v>Irrecuperable</v>
      </c>
      <c r="Z36">
        <f t="shared" si="1"/>
        <v>5</v>
      </c>
      <c r="AB36" t="e">
        <f>VLOOKUP(A36,rubros_a_considerar!$A$2:$A$13,1,FALSE)</f>
        <v>#N/A</v>
      </c>
      <c r="AO36" t="str">
        <f>IFERROR(VLOOKUP(A36,Diccionario!$C$2:$E$65,3,FALSE),"no")</f>
        <v>Créditos clasificados irrecuperables</v>
      </c>
    </row>
    <row r="37" spans="1:41" x14ac:dyDescent="0.35">
      <c r="A37">
        <v>711046008</v>
      </c>
      <c r="B37">
        <v>80</v>
      </c>
      <c r="C37">
        <v>82080</v>
      </c>
      <c r="D37">
        <v>37225</v>
      </c>
      <c r="E37">
        <v>0</v>
      </c>
      <c r="F37" s="1">
        <v>46142</v>
      </c>
      <c r="G37" s="1" t="s">
        <v>96</v>
      </c>
      <c r="H37" s="1">
        <v>41263</v>
      </c>
      <c r="I37">
        <v>0</v>
      </c>
      <c r="J37">
        <v>0</v>
      </c>
      <c r="K37" s="11">
        <v>0</v>
      </c>
      <c r="L37">
        <v>0</v>
      </c>
      <c r="M37">
        <v>0</v>
      </c>
      <c r="N37" t="s">
        <v>92</v>
      </c>
      <c r="O37" t="s">
        <v>173</v>
      </c>
      <c r="P37">
        <v>999</v>
      </c>
      <c r="Q37" s="1" t="s">
        <v>94</v>
      </c>
      <c r="R37" s="12">
        <v>41263</v>
      </c>
      <c r="S37" s="12">
        <v>0</v>
      </c>
      <c r="T37" s="12">
        <v>-15320.68</v>
      </c>
      <c r="U37" s="12">
        <v>-11.09</v>
      </c>
      <c r="V37" s="12">
        <v>-15320.68</v>
      </c>
      <c r="W37" s="12">
        <v>0</v>
      </c>
      <c r="X37">
        <v>0</v>
      </c>
      <c r="Y37" t="str">
        <f t="shared" si="0"/>
        <v>Irrecuperable</v>
      </c>
      <c r="Z37">
        <f t="shared" si="1"/>
        <v>5</v>
      </c>
      <c r="AB37" t="e">
        <f>VLOOKUP(A37,rubros_a_considerar!$A$2:$A$13,1,FALSE)</f>
        <v>#N/A</v>
      </c>
      <c r="AO37" t="str">
        <f>IFERROR(VLOOKUP(A37,Diccionario!$C$2:$E$65,3,FALSE),"no")</f>
        <v>Créditos clasificados irrecuperables</v>
      </c>
    </row>
    <row r="38" spans="1:41" x14ac:dyDescent="0.35">
      <c r="A38">
        <v>711046008</v>
      </c>
      <c r="B38">
        <v>80</v>
      </c>
      <c r="C38">
        <v>82453</v>
      </c>
      <c r="D38">
        <v>42264</v>
      </c>
      <c r="E38">
        <v>0</v>
      </c>
      <c r="F38" s="1">
        <v>46142</v>
      </c>
      <c r="G38" s="1" t="s">
        <v>96</v>
      </c>
      <c r="H38" s="1">
        <v>45377</v>
      </c>
      <c r="I38">
        <v>0</v>
      </c>
      <c r="J38">
        <v>0</v>
      </c>
      <c r="K38" s="11">
        <v>0</v>
      </c>
      <c r="L38">
        <v>0</v>
      </c>
      <c r="M38">
        <v>0</v>
      </c>
      <c r="N38" t="s">
        <v>92</v>
      </c>
      <c r="O38" t="s">
        <v>173</v>
      </c>
      <c r="P38">
        <v>999</v>
      </c>
      <c r="Q38" s="1" t="s">
        <v>94</v>
      </c>
      <c r="R38" s="12">
        <v>45377</v>
      </c>
      <c r="S38" s="12">
        <v>0</v>
      </c>
      <c r="T38" s="12">
        <v>-35337.21</v>
      </c>
      <c r="U38" s="12">
        <v>-25.59</v>
      </c>
      <c r="V38" s="12">
        <v>-35337.21</v>
      </c>
      <c r="W38" s="12">
        <v>0</v>
      </c>
      <c r="X38">
        <v>0</v>
      </c>
      <c r="Y38" t="str">
        <f t="shared" si="0"/>
        <v>Irrecuperable</v>
      </c>
      <c r="Z38">
        <f t="shared" si="1"/>
        <v>5</v>
      </c>
      <c r="AB38" t="e">
        <f>VLOOKUP(A38,rubros_a_considerar!$A$2:$A$13,1,FALSE)</f>
        <v>#N/A</v>
      </c>
      <c r="AO38" t="str">
        <f>IFERROR(VLOOKUP(A38,Diccionario!$C$2:$E$65,3,FALSE),"no")</f>
        <v>Créditos clasificados irrecuperables</v>
      </c>
    </row>
    <row r="39" spans="1:41" x14ac:dyDescent="0.35">
      <c r="A39">
        <v>711046008</v>
      </c>
      <c r="B39">
        <v>80</v>
      </c>
      <c r="C39">
        <v>82456</v>
      </c>
      <c r="D39">
        <v>36880</v>
      </c>
      <c r="E39">
        <v>0</v>
      </c>
      <c r="F39" s="1">
        <v>46142</v>
      </c>
      <c r="G39" s="1" t="s">
        <v>96</v>
      </c>
      <c r="H39" s="1">
        <v>41131</v>
      </c>
      <c r="I39">
        <v>0</v>
      </c>
      <c r="J39">
        <v>0</v>
      </c>
      <c r="K39" s="11">
        <v>0</v>
      </c>
      <c r="L39">
        <v>0</v>
      </c>
      <c r="M39">
        <v>0</v>
      </c>
      <c r="N39" t="s">
        <v>92</v>
      </c>
      <c r="O39" t="s">
        <v>173</v>
      </c>
      <c r="P39">
        <v>999</v>
      </c>
      <c r="Q39" s="1" t="s">
        <v>94</v>
      </c>
      <c r="R39" s="12">
        <v>41131</v>
      </c>
      <c r="S39" s="12">
        <v>0</v>
      </c>
      <c r="T39" s="12">
        <v>-2130.8000000000002</v>
      </c>
      <c r="U39" s="12">
        <v>-1.54</v>
      </c>
      <c r="V39" s="12">
        <v>-2130.8000000000002</v>
      </c>
      <c r="W39" s="12">
        <v>0</v>
      </c>
      <c r="X39">
        <v>0</v>
      </c>
      <c r="Y39" t="str">
        <f t="shared" si="0"/>
        <v>Irrecuperable</v>
      </c>
      <c r="Z39">
        <f t="shared" si="1"/>
        <v>5</v>
      </c>
      <c r="AB39" t="e">
        <f>VLOOKUP(A39,rubros_a_considerar!$A$2:$A$13,1,FALSE)</f>
        <v>#N/A</v>
      </c>
      <c r="AO39" t="str">
        <f>IFERROR(VLOOKUP(A39,Diccionario!$C$2:$E$65,3,FALSE),"no")</f>
        <v>Créditos clasificados irrecuperables</v>
      </c>
    </row>
    <row r="40" spans="1:41" x14ac:dyDescent="0.35">
      <c r="A40">
        <v>711046008</v>
      </c>
      <c r="B40">
        <v>80</v>
      </c>
      <c r="C40">
        <v>82486</v>
      </c>
      <c r="D40">
        <v>36681</v>
      </c>
      <c r="E40">
        <v>0</v>
      </c>
      <c r="F40" s="1">
        <v>46142</v>
      </c>
      <c r="G40" s="1" t="s">
        <v>96</v>
      </c>
      <c r="H40" s="1">
        <v>40947</v>
      </c>
      <c r="I40">
        <v>0</v>
      </c>
      <c r="J40">
        <v>0</v>
      </c>
      <c r="K40" s="11">
        <v>0</v>
      </c>
      <c r="L40">
        <v>0</v>
      </c>
      <c r="M40">
        <v>0</v>
      </c>
      <c r="N40" t="s">
        <v>92</v>
      </c>
      <c r="O40" t="s">
        <v>173</v>
      </c>
      <c r="P40">
        <v>999</v>
      </c>
      <c r="Q40" s="1" t="s">
        <v>94</v>
      </c>
      <c r="R40" s="12">
        <v>40947</v>
      </c>
      <c r="S40" s="12">
        <v>0</v>
      </c>
      <c r="T40" s="12">
        <v>-2314.5700000000002</v>
      </c>
      <c r="U40" s="12">
        <v>-1.68</v>
      </c>
      <c r="V40" s="12">
        <v>-2314.5700000000002</v>
      </c>
      <c r="W40" s="12">
        <v>0</v>
      </c>
      <c r="X40">
        <v>0</v>
      </c>
      <c r="Y40" t="str">
        <f t="shared" si="0"/>
        <v>Irrecuperable</v>
      </c>
      <c r="Z40">
        <f t="shared" si="1"/>
        <v>5</v>
      </c>
      <c r="AB40" t="e">
        <f>VLOOKUP(A40,rubros_a_considerar!$A$2:$A$13,1,FALSE)</f>
        <v>#N/A</v>
      </c>
      <c r="AO40" t="str">
        <f>IFERROR(VLOOKUP(A40,Diccionario!$C$2:$E$65,3,FALSE),"no")</f>
        <v>Créditos clasificados irrecuperables</v>
      </c>
    </row>
    <row r="41" spans="1:41" x14ac:dyDescent="0.35">
      <c r="A41">
        <v>711046008</v>
      </c>
      <c r="B41">
        <v>80</v>
      </c>
      <c r="C41">
        <v>82503</v>
      </c>
      <c r="D41">
        <v>36457</v>
      </c>
      <c r="E41">
        <v>0</v>
      </c>
      <c r="F41" s="1">
        <v>46142</v>
      </c>
      <c r="G41" s="1" t="s">
        <v>96</v>
      </c>
      <c r="H41" s="1">
        <v>40877</v>
      </c>
      <c r="I41">
        <v>0</v>
      </c>
      <c r="J41">
        <v>0</v>
      </c>
      <c r="K41" s="11">
        <v>0</v>
      </c>
      <c r="L41">
        <v>0</v>
      </c>
      <c r="M41">
        <v>0</v>
      </c>
      <c r="N41" t="s">
        <v>92</v>
      </c>
      <c r="O41" t="s">
        <v>173</v>
      </c>
      <c r="P41">
        <v>999</v>
      </c>
      <c r="Q41" s="1" t="s">
        <v>94</v>
      </c>
      <c r="R41" s="12">
        <v>40877</v>
      </c>
      <c r="S41" s="12">
        <v>0</v>
      </c>
      <c r="T41" s="12">
        <v>-718.76</v>
      </c>
      <c r="U41" s="12">
        <v>-0.52</v>
      </c>
      <c r="V41" s="12">
        <v>-718.76</v>
      </c>
      <c r="W41" s="12">
        <v>0</v>
      </c>
      <c r="X41">
        <v>0</v>
      </c>
      <c r="Y41" t="str">
        <f t="shared" si="0"/>
        <v>Irrecuperable</v>
      </c>
      <c r="Z41">
        <f t="shared" si="1"/>
        <v>5</v>
      </c>
      <c r="AB41" t="e">
        <f>VLOOKUP(A41,rubros_a_considerar!$A$2:$A$13,1,FALSE)</f>
        <v>#N/A</v>
      </c>
      <c r="AO41" t="str">
        <f>IFERROR(VLOOKUP(A41,Diccionario!$C$2:$E$65,3,FALSE),"no")</f>
        <v>Créditos clasificados irrecuperables</v>
      </c>
    </row>
    <row r="42" spans="1:41" x14ac:dyDescent="0.35">
      <c r="A42">
        <v>711046008</v>
      </c>
      <c r="B42">
        <v>80</v>
      </c>
      <c r="C42">
        <v>82701</v>
      </c>
      <c r="D42">
        <v>40021</v>
      </c>
      <c r="E42">
        <v>0</v>
      </c>
      <c r="F42" s="1">
        <v>46142</v>
      </c>
      <c r="G42" s="1" t="s">
        <v>96</v>
      </c>
      <c r="H42" s="1">
        <v>43677</v>
      </c>
      <c r="I42">
        <v>0</v>
      </c>
      <c r="J42">
        <v>0</v>
      </c>
      <c r="K42" s="11">
        <v>0</v>
      </c>
      <c r="L42">
        <v>0</v>
      </c>
      <c r="M42">
        <v>0</v>
      </c>
      <c r="N42" t="s">
        <v>92</v>
      </c>
      <c r="O42" t="s">
        <v>173</v>
      </c>
      <c r="P42">
        <v>999</v>
      </c>
      <c r="Q42" s="1" t="s">
        <v>94</v>
      </c>
      <c r="R42" s="12">
        <v>43677</v>
      </c>
      <c r="S42" s="12">
        <v>0</v>
      </c>
      <c r="T42" s="12">
        <v>-5366.95</v>
      </c>
      <c r="U42" s="12">
        <v>-3.89</v>
      </c>
      <c r="V42" s="12">
        <v>-5366.95</v>
      </c>
      <c r="W42" s="12">
        <v>0</v>
      </c>
      <c r="X42">
        <v>0</v>
      </c>
      <c r="Y42" t="str">
        <f t="shared" si="0"/>
        <v>Irrecuperable</v>
      </c>
      <c r="Z42">
        <f t="shared" si="1"/>
        <v>5</v>
      </c>
      <c r="AB42" t="e">
        <f>VLOOKUP(A42,rubros_a_considerar!$A$2:$A$13,1,FALSE)</f>
        <v>#N/A</v>
      </c>
      <c r="AO42" t="str">
        <f>IFERROR(VLOOKUP(A42,Diccionario!$C$2:$E$65,3,FALSE),"no")</f>
        <v>Créditos clasificados irrecuperables</v>
      </c>
    </row>
    <row r="43" spans="1:41" x14ac:dyDescent="0.35">
      <c r="A43">
        <v>711046008</v>
      </c>
      <c r="B43">
        <v>80</v>
      </c>
      <c r="C43">
        <v>82969</v>
      </c>
      <c r="D43">
        <v>36699</v>
      </c>
      <c r="E43">
        <v>0</v>
      </c>
      <c r="F43" s="1">
        <v>46142</v>
      </c>
      <c r="G43" s="1" t="s">
        <v>96</v>
      </c>
      <c r="H43" s="1">
        <v>40877</v>
      </c>
      <c r="I43">
        <v>0</v>
      </c>
      <c r="J43">
        <v>0</v>
      </c>
      <c r="K43" s="11">
        <v>0</v>
      </c>
      <c r="L43">
        <v>0</v>
      </c>
      <c r="M43">
        <v>0</v>
      </c>
      <c r="N43" t="s">
        <v>92</v>
      </c>
      <c r="O43" t="s">
        <v>173</v>
      </c>
      <c r="P43">
        <v>999</v>
      </c>
      <c r="Q43" s="1" t="s">
        <v>94</v>
      </c>
      <c r="R43" s="12">
        <v>40877</v>
      </c>
      <c r="S43" s="12">
        <v>0</v>
      </c>
      <c r="T43" s="12">
        <v>-1423.7</v>
      </c>
      <c r="U43" s="12">
        <v>-1.03</v>
      </c>
      <c r="V43" s="12">
        <v>-1423.7</v>
      </c>
      <c r="W43" s="12">
        <v>0</v>
      </c>
      <c r="X43">
        <v>0</v>
      </c>
      <c r="Y43" t="str">
        <f t="shared" si="0"/>
        <v>Irrecuperable</v>
      </c>
      <c r="Z43">
        <f t="shared" si="1"/>
        <v>5</v>
      </c>
      <c r="AB43" t="e">
        <f>VLOOKUP(A43,rubros_a_considerar!$A$2:$A$13,1,FALSE)</f>
        <v>#N/A</v>
      </c>
      <c r="AO43" t="str">
        <f>IFERROR(VLOOKUP(A43,Diccionario!$C$2:$E$65,3,FALSE),"no")</f>
        <v>Créditos clasificados irrecuperables</v>
      </c>
    </row>
    <row r="44" spans="1:41" x14ac:dyDescent="0.35">
      <c r="A44">
        <v>711046013</v>
      </c>
      <c r="B44">
        <v>80</v>
      </c>
      <c r="C44">
        <v>83014</v>
      </c>
      <c r="D44">
        <v>83014</v>
      </c>
      <c r="E44">
        <v>0</v>
      </c>
      <c r="F44" s="1">
        <v>46142</v>
      </c>
      <c r="G44" s="1" t="s">
        <v>96</v>
      </c>
      <c r="H44" s="1">
        <v>44085</v>
      </c>
      <c r="I44">
        <v>0</v>
      </c>
      <c r="J44">
        <v>0</v>
      </c>
      <c r="K44" s="11">
        <v>0</v>
      </c>
      <c r="L44">
        <v>0</v>
      </c>
      <c r="M44">
        <v>0</v>
      </c>
      <c r="N44" t="s">
        <v>92</v>
      </c>
      <c r="O44" t="s">
        <v>173</v>
      </c>
      <c r="P44">
        <v>999</v>
      </c>
      <c r="Q44" s="1" t="s">
        <v>94</v>
      </c>
      <c r="R44" s="12">
        <v>44085</v>
      </c>
      <c r="S44" s="12">
        <v>0</v>
      </c>
      <c r="T44" s="12">
        <v>-10365.219999999999</v>
      </c>
      <c r="U44" s="12">
        <v>-7.51</v>
      </c>
      <c r="V44" s="12">
        <v>-10365.219999999999</v>
      </c>
      <c r="W44" s="12">
        <v>0</v>
      </c>
      <c r="X44">
        <v>0</v>
      </c>
      <c r="Y44" t="str">
        <f t="shared" si="0"/>
        <v>Irrecuperable</v>
      </c>
      <c r="Z44">
        <f t="shared" si="1"/>
        <v>5</v>
      </c>
      <c r="AB44" t="e">
        <f>VLOOKUP(A44,rubros_a_considerar!$A$2:$A$13,1,FALSE)</f>
        <v>#N/A</v>
      </c>
      <c r="AO44" t="str">
        <f>IFERROR(VLOOKUP(A44,Diccionario!$C$2:$E$65,3,FALSE),"no")</f>
        <v>Créditos clasificados irrecuperables</v>
      </c>
    </row>
    <row r="45" spans="1:41" x14ac:dyDescent="0.35">
      <c r="A45">
        <v>711046013</v>
      </c>
      <c r="B45">
        <v>80</v>
      </c>
      <c r="C45">
        <v>83393</v>
      </c>
      <c r="D45">
        <v>83393</v>
      </c>
      <c r="E45">
        <v>0</v>
      </c>
      <c r="F45" s="1">
        <v>46142</v>
      </c>
      <c r="G45" s="1" t="s">
        <v>96</v>
      </c>
      <c r="H45" s="1">
        <v>43447</v>
      </c>
      <c r="I45">
        <v>0</v>
      </c>
      <c r="J45">
        <v>0</v>
      </c>
      <c r="K45" s="11">
        <v>0</v>
      </c>
      <c r="L45">
        <v>0</v>
      </c>
      <c r="M45">
        <v>0</v>
      </c>
      <c r="N45" t="s">
        <v>92</v>
      </c>
      <c r="O45" t="s">
        <v>173</v>
      </c>
      <c r="P45">
        <v>999</v>
      </c>
      <c r="Q45" s="1" t="s">
        <v>94</v>
      </c>
      <c r="R45" s="12">
        <v>43447</v>
      </c>
      <c r="S45" s="12">
        <v>0</v>
      </c>
      <c r="T45" s="12">
        <v>-3048.36</v>
      </c>
      <c r="U45" s="12">
        <v>-2.21</v>
      </c>
      <c r="V45" s="12">
        <v>-3048.36</v>
      </c>
      <c r="W45" s="12">
        <v>0</v>
      </c>
      <c r="X45">
        <v>0</v>
      </c>
      <c r="Y45" t="str">
        <f t="shared" si="0"/>
        <v>Irrecuperable</v>
      </c>
      <c r="Z45">
        <f t="shared" si="1"/>
        <v>5</v>
      </c>
      <c r="AB45" t="e">
        <f>VLOOKUP(A45,rubros_a_considerar!$A$2:$A$13,1,FALSE)</f>
        <v>#N/A</v>
      </c>
      <c r="AO45" t="str">
        <f>IFERROR(VLOOKUP(A45,Diccionario!$C$2:$E$65,3,FALSE),"no")</f>
        <v>Créditos clasificados irrecuperables</v>
      </c>
    </row>
    <row r="46" spans="1:41" x14ac:dyDescent="0.35">
      <c r="A46">
        <v>711046008</v>
      </c>
      <c r="B46">
        <v>80</v>
      </c>
      <c r="C46">
        <v>83440</v>
      </c>
      <c r="D46">
        <v>38140</v>
      </c>
      <c r="E46">
        <v>0</v>
      </c>
      <c r="F46" s="1">
        <v>46142</v>
      </c>
      <c r="G46" s="1" t="s">
        <v>96</v>
      </c>
      <c r="H46" s="1">
        <v>42152</v>
      </c>
      <c r="I46">
        <v>0</v>
      </c>
      <c r="J46">
        <v>0</v>
      </c>
      <c r="K46" s="11">
        <v>0</v>
      </c>
      <c r="L46">
        <v>0</v>
      </c>
      <c r="M46">
        <v>0</v>
      </c>
      <c r="N46" t="s">
        <v>92</v>
      </c>
      <c r="O46" t="s">
        <v>173</v>
      </c>
      <c r="P46">
        <v>999</v>
      </c>
      <c r="Q46" s="1" t="s">
        <v>94</v>
      </c>
      <c r="R46" s="12">
        <v>42152</v>
      </c>
      <c r="S46" s="12">
        <v>0</v>
      </c>
      <c r="T46" s="12">
        <v>-2310.06</v>
      </c>
      <c r="U46" s="12">
        <v>-1.67</v>
      </c>
      <c r="V46" s="12">
        <v>-2310.06</v>
      </c>
      <c r="W46" s="12">
        <v>0</v>
      </c>
      <c r="X46">
        <v>0</v>
      </c>
      <c r="Y46" t="str">
        <f t="shared" si="0"/>
        <v>Irrecuperable</v>
      </c>
      <c r="Z46">
        <f t="shared" si="1"/>
        <v>5</v>
      </c>
      <c r="AB46" t="e">
        <f>VLOOKUP(A46,rubros_a_considerar!$A$2:$A$13,1,FALSE)</f>
        <v>#N/A</v>
      </c>
      <c r="AO46" t="str">
        <f>IFERROR(VLOOKUP(A46,Diccionario!$C$2:$E$65,3,FALSE),"no")</f>
        <v>Créditos clasificados irrecuperables</v>
      </c>
    </row>
    <row r="47" spans="1:41" x14ac:dyDescent="0.35">
      <c r="A47">
        <v>711046013</v>
      </c>
      <c r="B47">
        <v>80</v>
      </c>
      <c r="C47">
        <v>83448</v>
      </c>
      <c r="D47">
        <v>83448</v>
      </c>
      <c r="E47">
        <v>0</v>
      </c>
      <c r="F47" s="1">
        <v>46142</v>
      </c>
      <c r="G47" s="1" t="s">
        <v>96</v>
      </c>
      <c r="H47" s="1">
        <v>44193</v>
      </c>
      <c r="I47">
        <v>0</v>
      </c>
      <c r="J47">
        <v>0</v>
      </c>
      <c r="K47" s="11">
        <v>0</v>
      </c>
      <c r="L47">
        <v>0</v>
      </c>
      <c r="M47">
        <v>0</v>
      </c>
      <c r="N47" t="s">
        <v>92</v>
      </c>
      <c r="O47" t="s">
        <v>173</v>
      </c>
      <c r="P47">
        <v>999</v>
      </c>
      <c r="Q47" s="1" t="s">
        <v>94</v>
      </c>
      <c r="R47" s="12">
        <v>44193</v>
      </c>
      <c r="S47" s="12">
        <v>0</v>
      </c>
      <c r="T47" s="12">
        <v>-576.35</v>
      </c>
      <c r="U47" s="12">
        <v>-0.42</v>
      </c>
      <c r="V47" s="12">
        <v>-576.35</v>
      </c>
      <c r="W47" s="12">
        <v>0</v>
      </c>
      <c r="X47">
        <v>0</v>
      </c>
      <c r="Y47" t="str">
        <f t="shared" si="0"/>
        <v>Irrecuperable</v>
      </c>
      <c r="Z47">
        <f t="shared" si="1"/>
        <v>5</v>
      </c>
      <c r="AB47" t="e">
        <f>VLOOKUP(A47,rubros_a_considerar!$A$2:$A$13,1,FALSE)</f>
        <v>#N/A</v>
      </c>
      <c r="AO47" t="str">
        <f>IFERROR(VLOOKUP(A47,Diccionario!$C$2:$E$65,3,FALSE),"no")</f>
        <v>Créditos clasificados irrecuperables</v>
      </c>
    </row>
    <row r="48" spans="1:41" x14ac:dyDescent="0.35">
      <c r="A48">
        <v>711046008</v>
      </c>
      <c r="B48">
        <v>80</v>
      </c>
      <c r="C48">
        <v>83605</v>
      </c>
      <c r="D48">
        <v>39703</v>
      </c>
      <c r="E48">
        <v>0</v>
      </c>
      <c r="F48" s="1">
        <v>46142</v>
      </c>
      <c r="G48" s="1" t="s">
        <v>96</v>
      </c>
      <c r="H48" s="1">
        <v>43447</v>
      </c>
      <c r="I48">
        <v>0</v>
      </c>
      <c r="J48">
        <v>0</v>
      </c>
      <c r="K48" s="11">
        <v>0</v>
      </c>
      <c r="L48">
        <v>0</v>
      </c>
      <c r="M48">
        <v>0</v>
      </c>
      <c r="N48" t="s">
        <v>92</v>
      </c>
      <c r="O48" t="s">
        <v>173</v>
      </c>
      <c r="P48">
        <v>999</v>
      </c>
      <c r="Q48" s="1" t="s">
        <v>94</v>
      </c>
      <c r="R48" s="12">
        <v>43447</v>
      </c>
      <c r="S48" s="12">
        <v>0</v>
      </c>
      <c r="T48" s="12">
        <v>-3609.75</v>
      </c>
      <c r="U48" s="12">
        <v>-2.61</v>
      </c>
      <c r="V48" s="12">
        <v>-3609.75</v>
      </c>
      <c r="W48" s="12">
        <v>0</v>
      </c>
      <c r="X48">
        <v>0</v>
      </c>
      <c r="Y48" t="str">
        <f t="shared" si="0"/>
        <v>Irrecuperable</v>
      </c>
      <c r="Z48">
        <f t="shared" si="1"/>
        <v>5</v>
      </c>
      <c r="AB48" t="e">
        <f>VLOOKUP(A48,rubros_a_considerar!$A$2:$A$13,1,FALSE)</f>
        <v>#N/A</v>
      </c>
      <c r="AO48" t="str">
        <f>IFERROR(VLOOKUP(A48,Diccionario!$C$2:$E$65,3,FALSE),"no")</f>
        <v>Créditos clasificados irrecuperables</v>
      </c>
    </row>
    <row r="49" spans="1:41" x14ac:dyDescent="0.35">
      <c r="A49">
        <v>711046013</v>
      </c>
      <c r="B49">
        <v>80</v>
      </c>
      <c r="C49">
        <v>83764</v>
      </c>
      <c r="D49">
        <v>83764</v>
      </c>
      <c r="E49">
        <v>0</v>
      </c>
      <c r="F49" s="1">
        <v>46142</v>
      </c>
      <c r="G49" s="1" t="s">
        <v>96</v>
      </c>
      <c r="H49" s="1">
        <v>43447</v>
      </c>
      <c r="I49">
        <v>0</v>
      </c>
      <c r="J49">
        <v>0</v>
      </c>
      <c r="K49" s="11">
        <v>0</v>
      </c>
      <c r="L49">
        <v>0</v>
      </c>
      <c r="M49">
        <v>0</v>
      </c>
      <c r="N49" t="s">
        <v>92</v>
      </c>
      <c r="O49" t="s">
        <v>173</v>
      </c>
      <c r="P49">
        <v>999</v>
      </c>
      <c r="Q49" s="1" t="s">
        <v>94</v>
      </c>
      <c r="R49" s="12">
        <v>43447</v>
      </c>
      <c r="S49" s="12">
        <v>0</v>
      </c>
      <c r="T49" s="12">
        <v>-3525.24</v>
      </c>
      <c r="U49" s="12">
        <v>-2.5499999999999998</v>
      </c>
      <c r="V49" s="12">
        <v>-3525.24</v>
      </c>
      <c r="W49" s="12">
        <v>0</v>
      </c>
      <c r="X49">
        <v>0</v>
      </c>
      <c r="Y49" t="str">
        <f t="shared" si="0"/>
        <v>Irrecuperable</v>
      </c>
      <c r="Z49">
        <f t="shared" si="1"/>
        <v>5</v>
      </c>
      <c r="AB49" t="e">
        <f>VLOOKUP(A49,rubros_a_considerar!$A$2:$A$13,1,FALSE)</f>
        <v>#N/A</v>
      </c>
      <c r="AO49" t="str">
        <f>IFERROR(VLOOKUP(A49,Diccionario!$C$2:$E$65,3,FALSE),"no")</f>
        <v>Créditos clasificados irrecuperables</v>
      </c>
    </row>
    <row r="50" spans="1:41" x14ac:dyDescent="0.35">
      <c r="A50">
        <v>711046008</v>
      </c>
      <c r="B50">
        <v>80</v>
      </c>
      <c r="C50">
        <v>83970</v>
      </c>
      <c r="D50">
        <v>38829</v>
      </c>
      <c r="E50">
        <v>0</v>
      </c>
      <c r="F50" s="1">
        <v>46142</v>
      </c>
      <c r="G50" s="1" t="s">
        <v>96</v>
      </c>
      <c r="H50" s="1">
        <v>42786</v>
      </c>
      <c r="I50">
        <v>0</v>
      </c>
      <c r="J50">
        <v>0</v>
      </c>
      <c r="K50" s="11">
        <v>0</v>
      </c>
      <c r="L50">
        <v>0</v>
      </c>
      <c r="M50">
        <v>0</v>
      </c>
      <c r="N50" t="s">
        <v>92</v>
      </c>
      <c r="O50" t="s">
        <v>173</v>
      </c>
      <c r="P50">
        <v>999</v>
      </c>
      <c r="Q50" s="1" t="s">
        <v>94</v>
      </c>
      <c r="R50" s="12">
        <v>42786</v>
      </c>
      <c r="S50" s="12">
        <v>0</v>
      </c>
      <c r="T50" s="12">
        <v>-5936.28</v>
      </c>
      <c r="U50" s="12">
        <v>-4.3</v>
      </c>
      <c r="V50" s="12">
        <v>-5936.28</v>
      </c>
      <c r="W50" s="12">
        <v>0</v>
      </c>
      <c r="X50">
        <v>0</v>
      </c>
      <c r="Y50" t="str">
        <f t="shared" si="0"/>
        <v>Irrecuperable</v>
      </c>
      <c r="Z50">
        <f t="shared" si="1"/>
        <v>5</v>
      </c>
      <c r="AB50" t="e">
        <f>VLOOKUP(A50,rubros_a_considerar!$A$2:$A$13,1,FALSE)</f>
        <v>#N/A</v>
      </c>
      <c r="AO50" t="str">
        <f>IFERROR(VLOOKUP(A50,Diccionario!$C$2:$E$65,3,FALSE),"no")</f>
        <v>Créditos clasificados irrecuperables</v>
      </c>
    </row>
    <row r="51" spans="1:41" x14ac:dyDescent="0.35">
      <c r="A51">
        <v>711046008</v>
      </c>
      <c r="B51">
        <v>80</v>
      </c>
      <c r="C51">
        <v>84310</v>
      </c>
      <c r="D51">
        <v>41645</v>
      </c>
      <c r="E51">
        <v>0</v>
      </c>
      <c r="F51" s="1">
        <v>46142</v>
      </c>
      <c r="G51" s="1" t="s">
        <v>96</v>
      </c>
      <c r="H51" s="1">
        <v>44804</v>
      </c>
      <c r="I51">
        <v>0</v>
      </c>
      <c r="J51">
        <v>0</v>
      </c>
      <c r="K51" s="11">
        <v>0</v>
      </c>
      <c r="L51">
        <v>0</v>
      </c>
      <c r="M51">
        <v>0</v>
      </c>
      <c r="N51" t="s">
        <v>92</v>
      </c>
      <c r="O51" t="s">
        <v>173</v>
      </c>
      <c r="P51">
        <v>999</v>
      </c>
      <c r="Q51" s="1" t="s">
        <v>94</v>
      </c>
      <c r="R51" s="12">
        <v>44804</v>
      </c>
      <c r="S51" s="12">
        <v>0</v>
      </c>
      <c r="T51" s="12">
        <v>-35440.53</v>
      </c>
      <c r="U51" s="12">
        <v>-25.66</v>
      </c>
      <c r="V51" s="12">
        <v>-35440.53</v>
      </c>
      <c r="W51" s="12">
        <v>0</v>
      </c>
      <c r="X51">
        <v>0</v>
      </c>
      <c r="Y51" t="str">
        <f t="shared" si="0"/>
        <v>Irrecuperable</v>
      </c>
      <c r="Z51">
        <f t="shared" si="1"/>
        <v>5</v>
      </c>
      <c r="AB51" t="e">
        <f>VLOOKUP(A51,rubros_a_considerar!$A$2:$A$13,1,FALSE)</f>
        <v>#N/A</v>
      </c>
      <c r="AO51" t="str">
        <f>IFERROR(VLOOKUP(A51,Diccionario!$C$2:$E$65,3,FALSE),"no")</f>
        <v>Créditos clasificados irrecuperables</v>
      </c>
    </row>
    <row r="52" spans="1:41" x14ac:dyDescent="0.35">
      <c r="A52">
        <v>711046008</v>
      </c>
      <c r="B52">
        <v>80</v>
      </c>
      <c r="C52">
        <v>84534</v>
      </c>
      <c r="D52">
        <v>38615</v>
      </c>
      <c r="E52">
        <v>0</v>
      </c>
      <c r="F52" s="1">
        <v>46142</v>
      </c>
      <c r="G52" s="1" t="s">
        <v>96</v>
      </c>
      <c r="H52" s="1">
        <v>42695</v>
      </c>
      <c r="I52">
        <v>0</v>
      </c>
      <c r="J52">
        <v>0</v>
      </c>
      <c r="K52" s="11">
        <v>0</v>
      </c>
      <c r="L52">
        <v>0</v>
      </c>
      <c r="M52">
        <v>0</v>
      </c>
      <c r="N52" t="s">
        <v>92</v>
      </c>
      <c r="O52" t="s">
        <v>173</v>
      </c>
      <c r="P52">
        <v>999</v>
      </c>
      <c r="Q52" s="1" t="s">
        <v>94</v>
      </c>
      <c r="R52" s="12">
        <v>42695</v>
      </c>
      <c r="S52" s="12">
        <v>0</v>
      </c>
      <c r="T52" s="12">
        <v>-662.04</v>
      </c>
      <c r="U52" s="12">
        <v>-0.48</v>
      </c>
      <c r="V52" s="12">
        <v>-662.04</v>
      </c>
      <c r="W52" s="12">
        <v>0</v>
      </c>
      <c r="X52">
        <v>0</v>
      </c>
      <c r="Y52" t="str">
        <f t="shared" si="0"/>
        <v>Irrecuperable</v>
      </c>
      <c r="Z52">
        <f t="shared" si="1"/>
        <v>5</v>
      </c>
      <c r="AB52" t="e">
        <f>VLOOKUP(A52,rubros_a_considerar!$A$2:$A$13,1,FALSE)</f>
        <v>#N/A</v>
      </c>
      <c r="AO52" t="str">
        <f>IFERROR(VLOOKUP(A52,Diccionario!$C$2:$E$65,3,FALSE),"no")</f>
        <v>Créditos clasificados irrecuperables</v>
      </c>
    </row>
    <row r="53" spans="1:41" x14ac:dyDescent="0.35">
      <c r="A53">
        <v>711046008</v>
      </c>
      <c r="B53">
        <v>80</v>
      </c>
      <c r="C53">
        <v>85365</v>
      </c>
      <c r="D53">
        <v>40016</v>
      </c>
      <c r="E53">
        <v>0</v>
      </c>
      <c r="F53" s="1">
        <v>46142</v>
      </c>
      <c r="G53" s="1" t="s">
        <v>96</v>
      </c>
      <c r="H53" s="1">
        <v>44085</v>
      </c>
      <c r="I53">
        <v>0</v>
      </c>
      <c r="J53">
        <v>0</v>
      </c>
      <c r="K53" s="11">
        <v>0</v>
      </c>
      <c r="L53">
        <v>0</v>
      </c>
      <c r="M53">
        <v>0</v>
      </c>
      <c r="N53" t="s">
        <v>92</v>
      </c>
      <c r="O53" t="s">
        <v>173</v>
      </c>
      <c r="P53">
        <v>999</v>
      </c>
      <c r="Q53" s="1" t="s">
        <v>94</v>
      </c>
      <c r="R53" s="12">
        <v>44085</v>
      </c>
      <c r="S53" s="12">
        <v>0</v>
      </c>
      <c r="T53" s="12">
        <v>-3083.34</v>
      </c>
      <c r="U53" s="12">
        <v>-2.23</v>
      </c>
      <c r="V53" s="12">
        <v>-3083.34</v>
      </c>
      <c r="W53" s="12">
        <v>0</v>
      </c>
      <c r="X53">
        <v>0</v>
      </c>
      <c r="Y53" t="str">
        <f t="shared" si="0"/>
        <v>Irrecuperable</v>
      </c>
      <c r="Z53">
        <f t="shared" si="1"/>
        <v>5</v>
      </c>
      <c r="AB53" t="e">
        <f>VLOOKUP(A53,rubros_a_considerar!$A$2:$A$13,1,FALSE)</f>
        <v>#N/A</v>
      </c>
      <c r="AO53" t="str">
        <f>IFERROR(VLOOKUP(A53,Diccionario!$C$2:$E$65,3,FALSE),"no")</f>
        <v>Créditos clasificados irrecuperables</v>
      </c>
    </row>
    <row r="54" spans="1:41" x14ac:dyDescent="0.35">
      <c r="A54">
        <v>711046013</v>
      </c>
      <c r="B54">
        <v>80</v>
      </c>
      <c r="C54">
        <v>85365</v>
      </c>
      <c r="D54">
        <v>85365</v>
      </c>
      <c r="E54">
        <v>0</v>
      </c>
      <c r="F54" s="1">
        <v>46142</v>
      </c>
      <c r="G54" s="1" t="s">
        <v>96</v>
      </c>
      <c r="H54" s="1">
        <v>44085</v>
      </c>
      <c r="I54">
        <v>0</v>
      </c>
      <c r="J54">
        <v>0</v>
      </c>
      <c r="K54" s="11">
        <v>0</v>
      </c>
      <c r="L54">
        <v>0</v>
      </c>
      <c r="M54">
        <v>0</v>
      </c>
      <c r="N54" t="s">
        <v>92</v>
      </c>
      <c r="O54" t="s">
        <v>173</v>
      </c>
      <c r="P54">
        <v>999</v>
      </c>
      <c r="Q54" s="1" t="s">
        <v>94</v>
      </c>
      <c r="R54" s="12">
        <v>44085</v>
      </c>
      <c r="S54" s="12">
        <v>0</v>
      </c>
      <c r="T54" s="12">
        <v>-32000.720000000001</v>
      </c>
      <c r="U54" s="12">
        <v>-23.17</v>
      </c>
      <c r="V54" s="12">
        <v>-32000.720000000001</v>
      </c>
      <c r="W54" s="12">
        <v>0</v>
      </c>
      <c r="X54">
        <v>0</v>
      </c>
      <c r="Y54" t="str">
        <f t="shared" si="0"/>
        <v>Irrecuperable</v>
      </c>
      <c r="Z54">
        <f t="shared" si="1"/>
        <v>5</v>
      </c>
      <c r="AB54" t="e">
        <f>VLOOKUP(A54,rubros_a_considerar!$A$2:$A$13,1,FALSE)</f>
        <v>#N/A</v>
      </c>
      <c r="AO54" t="str">
        <f>IFERROR(VLOOKUP(A54,Diccionario!$C$2:$E$65,3,FALSE),"no")</f>
        <v>Créditos clasificados irrecuperables</v>
      </c>
    </row>
    <row r="55" spans="1:41" x14ac:dyDescent="0.35">
      <c r="A55">
        <v>711046008</v>
      </c>
      <c r="B55">
        <v>80</v>
      </c>
      <c r="C55">
        <v>85365</v>
      </c>
      <c r="D55">
        <v>40907</v>
      </c>
      <c r="E55">
        <v>0</v>
      </c>
      <c r="F55" s="1">
        <v>46142</v>
      </c>
      <c r="G55" s="1" t="s">
        <v>96</v>
      </c>
      <c r="H55" s="1">
        <v>44085</v>
      </c>
      <c r="I55">
        <v>0</v>
      </c>
      <c r="J55">
        <v>0</v>
      </c>
      <c r="K55" s="11">
        <v>0</v>
      </c>
      <c r="L55">
        <v>0</v>
      </c>
      <c r="M55">
        <v>0</v>
      </c>
      <c r="N55" t="s">
        <v>92</v>
      </c>
      <c r="O55" t="s">
        <v>173</v>
      </c>
      <c r="P55">
        <v>999</v>
      </c>
      <c r="Q55" s="1" t="s">
        <v>94</v>
      </c>
      <c r="R55" s="12">
        <v>44085</v>
      </c>
      <c r="S55" s="12">
        <v>0</v>
      </c>
      <c r="T55" s="12">
        <v>-271903.95</v>
      </c>
      <c r="U55" s="12">
        <v>-196.88</v>
      </c>
      <c r="V55" s="12">
        <v>-271903.95</v>
      </c>
      <c r="W55" s="12">
        <v>0</v>
      </c>
      <c r="X55">
        <v>0</v>
      </c>
      <c r="Y55" t="str">
        <f t="shared" si="0"/>
        <v>Irrecuperable</v>
      </c>
      <c r="Z55">
        <f t="shared" si="1"/>
        <v>5</v>
      </c>
      <c r="AB55" t="e">
        <f>VLOOKUP(A55,rubros_a_considerar!$A$2:$A$13,1,FALSE)</f>
        <v>#N/A</v>
      </c>
      <c r="AO55" t="str">
        <f>IFERROR(VLOOKUP(A55,Diccionario!$C$2:$E$65,3,FALSE),"no")</f>
        <v>Créditos clasificados irrecuperables</v>
      </c>
    </row>
    <row r="56" spans="1:41" x14ac:dyDescent="0.35">
      <c r="A56">
        <v>711046008</v>
      </c>
      <c r="B56">
        <v>80</v>
      </c>
      <c r="C56">
        <v>85423</v>
      </c>
      <c r="D56">
        <v>40071</v>
      </c>
      <c r="E56">
        <v>0</v>
      </c>
      <c r="F56" s="1">
        <v>46142</v>
      </c>
      <c r="G56" s="1" t="s">
        <v>96</v>
      </c>
      <c r="H56" s="1">
        <v>43888</v>
      </c>
      <c r="I56">
        <v>0</v>
      </c>
      <c r="J56">
        <v>0</v>
      </c>
      <c r="K56" s="11">
        <v>0</v>
      </c>
      <c r="L56">
        <v>0</v>
      </c>
      <c r="M56">
        <v>0</v>
      </c>
      <c r="N56" t="s">
        <v>92</v>
      </c>
      <c r="O56" t="s">
        <v>173</v>
      </c>
      <c r="P56">
        <v>999</v>
      </c>
      <c r="Q56" s="1" t="s">
        <v>94</v>
      </c>
      <c r="R56" s="12">
        <v>43888</v>
      </c>
      <c r="S56" s="12">
        <v>0</v>
      </c>
      <c r="T56" s="12">
        <v>-8460.34</v>
      </c>
      <c r="U56" s="12">
        <v>-6.13</v>
      </c>
      <c r="V56" s="12">
        <v>-8460.34</v>
      </c>
      <c r="W56" s="12">
        <v>0</v>
      </c>
      <c r="X56">
        <v>0</v>
      </c>
      <c r="Y56" t="str">
        <f t="shared" si="0"/>
        <v>Irrecuperable</v>
      </c>
      <c r="Z56">
        <f t="shared" si="1"/>
        <v>5</v>
      </c>
      <c r="AB56" t="e">
        <f>VLOOKUP(A56,rubros_a_considerar!$A$2:$A$13,1,FALSE)</f>
        <v>#N/A</v>
      </c>
      <c r="AO56" t="str">
        <f>IFERROR(VLOOKUP(A56,Diccionario!$C$2:$E$65,3,FALSE),"no")</f>
        <v>Créditos clasificados irrecuperables</v>
      </c>
    </row>
    <row r="57" spans="1:41" x14ac:dyDescent="0.35">
      <c r="A57">
        <v>711046008</v>
      </c>
      <c r="B57">
        <v>80</v>
      </c>
      <c r="C57">
        <v>85469</v>
      </c>
      <c r="D57">
        <v>40309</v>
      </c>
      <c r="E57">
        <v>0</v>
      </c>
      <c r="F57" s="1">
        <v>46142</v>
      </c>
      <c r="G57" s="1" t="s">
        <v>96</v>
      </c>
      <c r="H57" s="1">
        <v>43724</v>
      </c>
      <c r="I57">
        <v>0</v>
      </c>
      <c r="J57">
        <v>0</v>
      </c>
      <c r="K57" s="11">
        <v>0</v>
      </c>
      <c r="L57">
        <v>0</v>
      </c>
      <c r="M57">
        <v>0</v>
      </c>
      <c r="N57" t="s">
        <v>92</v>
      </c>
      <c r="O57" t="s">
        <v>173</v>
      </c>
      <c r="P57">
        <v>999</v>
      </c>
      <c r="Q57" s="1" t="s">
        <v>94</v>
      </c>
      <c r="R57" s="12">
        <v>43724</v>
      </c>
      <c r="S57" s="12">
        <v>0</v>
      </c>
      <c r="T57" s="12">
        <v>-17453</v>
      </c>
      <c r="U57" s="12">
        <v>-12.64</v>
      </c>
      <c r="V57" s="12">
        <v>-17453</v>
      </c>
      <c r="W57" s="12">
        <v>0</v>
      </c>
      <c r="X57">
        <v>0</v>
      </c>
      <c r="Y57" t="str">
        <f t="shared" si="0"/>
        <v>Irrecuperable</v>
      </c>
      <c r="Z57">
        <f t="shared" si="1"/>
        <v>5</v>
      </c>
      <c r="AB57" t="e">
        <f>VLOOKUP(A57,rubros_a_considerar!$A$2:$A$13,1,FALSE)</f>
        <v>#N/A</v>
      </c>
      <c r="AO57" t="str">
        <f>IFERROR(VLOOKUP(A57,Diccionario!$C$2:$E$65,3,FALSE),"no")</f>
        <v>Créditos clasificados irrecuperables</v>
      </c>
    </row>
    <row r="58" spans="1:41" x14ac:dyDescent="0.35">
      <c r="A58">
        <v>711046008</v>
      </c>
      <c r="B58">
        <v>80</v>
      </c>
      <c r="C58">
        <v>85485</v>
      </c>
      <c r="D58">
        <v>40137</v>
      </c>
      <c r="E58">
        <v>0</v>
      </c>
      <c r="F58" s="1">
        <v>46142</v>
      </c>
      <c r="G58" s="1" t="s">
        <v>96</v>
      </c>
      <c r="H58" s="1">
        <v>44008</v>
      </c>
      <c r="I58">
        <v>0</v>
      </c>
      <c r="J58">
        <v>0</v>
      </c>
      <c r="K58" s="11">
        <v>0</v>
      </c>
      <c r="L58">
        <v>0</v>
      </c>
      <c r="M58">
        <v>0</v>
      </c>
      <c r="N58" t="s">
        <v>92</v>
      </c>
      <c r="O58" t="s">
        <v>173</v>
      </c>
      <c r="P58">
        <v>999</v>
      </c>
      <c r="Q58" s="1" t="s">
        <v>94</v>
      </c>
      <c r="R58" s="12">
        <v>44008</v>
      </c>
      <c r="S58" s="12">
        <v>0</v>
      </c>
      <c r="T58" s="12">
        <v>-53333.47</v>
      </c>
      <c r="U58" s="12">
        <v>-38.619999999999997</v>
      </c>
      <c r="V58" s="12">
        <v>-53333.47</v>
      </c>
      <c r="W58" s="12">
        <v>0</v>
      </c>
      <c r="X58">
        <v>0</v>
      </c>
      <c r="Y58" t="str">
        <f t="shared" si="0"/>
        <v>Irrecuperable</v>
      </c>
      <c r="Z58">
        <f t="shared" si="1"/>
        <v>5</v>
      </c>
      <c r="AB58" t="e">
        <f>VLOOKUP(A58,rubros_a_considerar!$A$2:$A$13,1,FALSE)</f>
        <v>#N/A</v>
      </c>
      <c r="AO58" t="str">
        <f>IFERROR(VLOOKUP(A58,Diccionario!$C$2:$E$65,3,FALSE),"no")</f>
        <v>Créditos clasificados irrecuperables</v>
      </c>
    </row>
    <row r="59" spans="1:41" x14ac:dyDescent="0.35">
      <c r="A59">
        <v>711046008</v>
      </c>
      <c r="B59">
        <v>80</v>
      </c>
      <c r="C59">
        <v>85493</v>
      </c>
      <c r="D59">
        <v>40145</v>
      </c>
      <c r="E59">
        <v>0</v>
      </c>
      <c r="F59" s="1">
        <v>46142</v>
      </c>
      <c r="G59" s="1" t="s">
        <v>96</v>
      </c>
      <c r="H59" s="1">
        <v>43759</v>
      </c>
      <c r="I59">
        <v>0</v>
      </c>
      <c r="J59">
        <v>0</v>
      </c>
      <c r="K59" s="11">
        <v>0</v>
      </c>
      <c r="L59">
        <v>0</v>
      </c>
      <c r="M59">
        <v>0</v>
      </c>
      <c r="N59" t="s">
        <v>92</v>
      </c>
      <c r="O59" t="s">
        <v>173</v>
      </c>
      <c r="P59">
        <v>999</v>
      </c>
      <c r="Q59" s="1" t="s">
        <v>94</v>
      </c>
      <c r="R59" s="12">
        <v>43759</v>
      </c>
      <c r="S59" s="12">
        <v>0</v>
      </c>
      <c r="T59" s="12">
        <v>-105164.85</v>
      </c>
      <c r="U59" s="12">
        <v>-76.150000000000006</v>
      </c>
      <c r="V59" s="12">
        <v>-105164.85</v>
      </c>
      <c r="W59" s="12">
        <v>0</v>
      </c>
      <c r="X59">
        <v>0</v>
      </c>
      <c r="Y59" t="str">
        <f t="shared" si="0"/>
        <v>Irrecuperable</v>
      </c>
      <c r="Z59">
        <f t="shared" si="1"/>
        <v>5</v>
      </c>
      <c r="AB59" t="e">
        <f>VLOOKUP(A59,rubros_a_considerar!$A$2:$A$13,1,FALSE)</f>
        <v>#N/A</v>
      </c>
      <c r="AO59" t="str">
        <f>IFERROR(VLOOKUP(A59,Diccionario!$C$2:$E$65,3,FALSE),"no")</f>
        <v>Créditos clasificados irrecuperables</v>
      </c>
    </row>
    <row r="60" spans="1:41" x14ac:dyDescent="0.35">
      <c r="A60">
        <v>711046008</v>
      </c>
      <c r="B60">
        <v>80</v>
      </c>
      <c r="C60">
        <v>85502</v>
      </c>
      <c r="D60">
        <v>40156</v>
      </c>
      <c r="E60">
        <v>0</v>
      </c>
      <c r="F60" s="1">
        <v>46142</v>
      </c>
      <c r="G60" s="1" t="s">
        <v>96</v>
      </c>
      <c r="H60" s="1">
        <v>44008</v>
      </c>
      <c r="I60">
        <v>0</v>
      </c>
      <c r="J60">
        <v>0</v>
      </c>
      <c r="K60" s="11">
        <v>0</v>
      </c>
      <c r="L60">
        <v>0</v>
      </c>
      <c r="M60">
        <v>0</v>
      </c>
      <c r="N60" t="s">
        <v>92</v>
      </c>
      <c r="O60" t="s">
        <v>173</v>
      </c>
      <c r="P60">
        <v>999</v>
      </c>
      <c r="Q60" s="1" t="s">
        <v>94</v>
      </c>
      <c r="R60" s="12">
        <v>44008</v>
      </c>
      <c r="S60" s="12">
        <v>0</v>
      </c>
      <c r="T60" s="12">
        <v>-66397.97</v>
      </c>
      <c r="U60" s="12">
        <v>-48.08</v>
      </c>
      <c r="V60" s="12">
        <v>-66397.97</v>
      </c>
      <c r="W60" s="12">
        <v>0</v>
      </c>
      <c r="X60">
        <v>0</v>
      </c>
      <c r="Y60" t="str">
        <f t="shared" si="0"/>
        <v>Irrecuperable</v>
      </c>
      <c r="Z60">
        <f t="shared" si="1"/>
        <v>5</v>
      </c>
      <c r="AB60" t="e">
        <f>VLOOKUP(A60,rubros_a_considerar!$A$2:$A$13,1,FALSE)</f>
        <v>#N/A</v>
      </c>
      <c r="AO60" t="str">
        <f>IFERROR(VLOOKUP(A60,Diccionario!$C$2:$E$65,3,FALSE),"no")</f>
        <v>Créditos clasificados irrecuperables</v>
      </c>
    </row>
    <row r="61" spans="1:41" x14ac:dyDescent="0.35">
      <c r="A61">
        <v>711046008</v>
      </c>
      <c r="B61">
        <v>80</v>
      </c>
      <c r="C61">
        <v>85503</v>
      </c>
      <c r="D61">
        <v>40158</v>
      </c>
      <c r="E61">
        <v>0</v>
      </c>
      <c r="F61" s="1">
        <v>46142</v>
      </c>
      <c r="G61" s="1" t="s">
        <v>96</v>
      </c>
      <c r="H61" s="1">
        <v>43724</v>
      </c>
      <c r="I61">
        <v>0</v>
      </c>
      <c r="J61">
        <v>0</v>
      </c>
      <c r="K61" s="11">
        <v>0</v>
      </c>
      <c r="L61">
        <v>0</v>
      </c>
      <c r="M61">
        <v>0</v>
      </c>
      <c r="N61" t="s">
        <v>92</v>
      </c>
      <c r="O61" t="s">
        <v>173</v>
      </c>
      <c r="P61">
        <v>999</v>
      </c>
      <c r="Q61" s="1" t="s">
        <v>94</v>
      </c>
      <c r="R61" s="12">
        <v>43724</v>
      </c>
      <c r="S61" s="12">
        <v>0</v>
      </c>
      <c r="T61" s="12">
        <v>-67202.86</v>
      </c>
      <c r="U61" s="12">
        <v>-48.66</v>
      </c>
      <c r="V61" s="12">
        <v>-67202.86</v>
      </c>
      <c r="W61" s="12">
        <v>0</v>
      </c>
      <c r="X61">
        <v>0</v>
      </c>
      <c r="Y61" t="str">
        <f t="shared" si="0"/>
        <v>Irrecuperable</v>
      </c>
      <c r="Z61">
        <f t="shared" si="1"/>
        <v>5</v>
      </c>
      <c r="AB61" t="e">
        <f>VLOOKUP(A61,rubros_a_considerar!$A$2:$A$13,1,FALSE)</f>
        <v>#N/A</v>
      </c>
      <c r="AO61" t="str">
        <f>IFERROR(VLOOKUP(A61,Diccionario!$C$2:$E$65,3,FALSE),"no")</f>
        <v>Créditos clasificados irrecuperables</v>
      </c>
    </row>
    <row r="62" spans="1:41" x14ac:dyDescent="0.35">
      <c r="A62">
        <v>711046008</v>
      </c>
      <c r="B62">
        <v>80</v>
      </c>
      <c r="C62">
        <v>85521</v>
      </c>
      <c r="D62">
        <v>40968</v>
      </c>
      <c r="E62">
        <v>0</v>
      </c>
      <c r="F62" s="1">
        <v>46142</v>
      </c>
      <c r="G62" s="1" t="s">
        <v>96</v>
      </c>
      <c r="H62" s="1">
        <v>44193</v>
      </c>
      <c r="I62">
        <v>0</v>
      </c>
      <c r="J62">
        <v>0</v>
      </c>
      <c r="K62" s="11">
        <v>0</v>
      </c>
      <c r="L62">
        <v>0</v>
      </c>
      <c r="M62">
        <v>0</v>
      </c>
      <c r="N62" t="s">
        <v>92</v>
      </c>
      <c r="O62" t="s">
        <v>173</v>
      </c>
      <c r="P62">
        <v>999</v>
      </c>
      <c r="Q62" s="1" t="s">
        <v>94</v>
      </c>
      <c r="R62" s="12">
        <v>44193</v>
      </c>
      <c r="S62" s="12">
        <v>0</v>
      </c>
      <c r="T62" s="12">
        <v>-6159.88</v>
      </c>
      <c r="U62" s="12">
        <v>-4.46</v>
      </c>
      <c r="V62" s="12">
        <v>-6159.88</v>
      </c>
      <c r="W62" s="12">
        <v>0</v>
      </c>
      <c r="X62">
        <v>0</v>
      </c>
      <c r="Y62" t="str">
        <f t="shared" si="0"/>
        <v>Irrecuperable</v>
      </c>
      <c r="Z62">
        <f t="shared" si="1"/>
        <v>5</v>
      </c>
      <c r="AB62" t="e">
        <f>VLOOKUP(A62,rubros_a_considerar!$A$2:$A$13,1,FALSE)</f>
        <v>#N/A</v>
      </c>
      <c r="AO62" t="str">
        <f>IFERROR(VLOOKUP(A62,Diccionario!$C$2:$E$65,3,FALSE),"no")</f>
        <v>Créditos clasificados irrecuperables</v>
      </c>
    </row>
    <row r="63" spans="1:41" x14ac:dyDescent="0.35">
      <c r="A63">
        <v>711046008</v>
      </c>
      <c r="B63">
        <v>80</v>
      </c>
      <c r="C63">
        <v>85538</v>
      </c>
      <c r="D63">
        <v>40180</v>
      </c>
      <c r="E63">
        <v>0</v>
      </c>
      <c r="F63" s="1">
        <v>46142</v>
      </c>
      <c r="G63" s="1" t="s">
        <v>96</v>
      </c>
      <c r="H63" s="1">
        <v>43608</v>
      </c>
      <c r="I63">
        <v>0</v>
      </c>
      <c r="J63">
        <v>0</v>
      </c>
      <c r="K63" s="11">
        <v>0</v>
      </c>
      <c r="L63">
        <v>0</v>
      </c>
      <c r="M63">
        <v>0</v>
      </c>
      <c r="N63" t="s">
        <v>92</v>
      </c>
      <c r="O63" t="s">
        <v>173</v>
      </c>
      <c r="P63">
        <v>999</v>
      </c>
      <c r="Q63" s="1" t="s">
        <v>94</v>
      </c>
      <c r="R63" s="12">
        <v>43608</v>
      </c>
      <c r="S63" s="12">
        <v>0</v>
      </c>
      <c r="T63" s="12">
        <v>-70878.179999999993</v>
      </c>
      <c r="U63" s="12">
        <v>-51.32</v>
      </c>
      <c r="V63" s="12">
        <v>-70878.179999999993</v>
      </c>
      <c r="W63" s="12">
        <v>0</v>
      </c>
      <c r="X63">
        <v>0</v>
      </c>
      <c r="Y63" t="str">
        <f t="shared" si="0"/>
        <v>Irrecuperable</v>
      </c>
      <c r="Z63">
        <f t="shared" si="1"/>
        <v>5</v>
      </c>
      <c r="AB63" t="e">
        <f>VLOOKUP(A63,rubros_a_considerar!$A$2:$A$13,1,FALSE)</f>
        <v>#N/A</v>
      </c>
      <c r="AO63" t="str">
        <f>IFERROR(VLOOKUP(A63,Diccionario!$C$2:$E$65,3,FALSE),"no")</f>
        <v>Créditos clasificados irrecuperables</v>
      </c>
    </row>
    <row r="64" spans="1:41" x14ac:dyDescent="0.35">
      <c r="A64">
        <v>711046008</v>
      </c>
      <c r="B64">
        <v>80</v>
      </c>
      <c r="C64">
        <v>85587</v>
      </c>
      <c r="D64">
        <v>40209</v>
      </c>
      <c r="E64">
        <v>0</v>
      </c>
      <c r="F64" s="1">
        <v>46142</v>
      </c>
      <c r="G64" s="1" t="s">
        <v>96</v>
      </c>
      <c r="H64" s="1">
        <v>44084</v>
      </c>
      <c r="I64">
        <v>0</v>
      </c>
      <c r="J64">
        <v>0</v>
      </c>
      <c r="K64" s="11">
        <v>0</v>
      </c>
      <c r="L64">
        <v>0</v>
      </c>
      <c r="M64">
        <v>0</v>
      </c>
      <c r="N64" t="s">
        <v>92</v>
      </c>
      <c r="O64" t="s">
        <v>173</v>
      </c>
      <c r="P64">
        <v>999</v>
      </c>
      <c r="Q64" s="1" t="s">
        <v>94</v>
      </c>
      <c r="R64" s="12">
        <v>44084</v>
      </c>
      <c r="S64" s="12">
        <v>0</v>
      </c>
      <c r="T64" s="12">
        <v>-14531.29</v>
      </c>
      <c r="U64" s="12">
        <v>-10.52</v>
      </c>
      <c r="V64" s="12">
        <v>-14531.29</v>
      </c>
      <c r="W64" s="12">
        <v>0</v>
      </c>
      <c r="X64">
        <v>0</v>
      </c>
      <c r="Y64" t="str">
        <f t="shared" si="0"/>
        <v>Irrecuperable</v>
      </c>
      <c r="Z64">
        <f t="shared" si="1"/>
        <v>5</v>
      </c>
      <c r="AB64" t="e">
        <f>VLOOKUP(A64,rubros_a_considerar!$A$2:$A$13,1,FALSE)</f>
        <v>#N/A</v>
      </c>
      <c r="AO64" t="str">
        <f>IFERROR(VLOOKUP(A64,Diccionario!$C$2:$E$65,3,FALSE),"no")</f>
        <v>Créditos clasificados irrecuperables</v>
      </c>
    </row>
    <row r="65" spans="1:41" x14ac:dyDescent="0.35">
      <c r="A65">
        <v>711046008</v>
      </c>
      <c r="B65">
        <v>80</v>
      </c>
      <c r="C65">
        <v>85587</v>
      </c>
      <c r="D65">
        <v>40211</v>
      </c>
      <c r="E65">
        <v>0</v>
      </c>
      <c r="F65" s="1">
        <v>46142</v>
      </c>
      <c r="G65" s="1" t="s">
        <v>96</v>
      </c>
      <c r="H65" s="1">
        <v>44084</v>
      </c>
      <c r="I65">
        <v>0</v>
      </c>
      <c r="J65">
        <v>0</v>
      </c>
      <c r="K65" s="11">
        <v>0</v>
      </c>
      <c r="L65">
        <v>0</v>
      </c>
      <c r="M65">
        <v>0</v>
      </c>
      <c r="N65" t="s">
        <v>92</v>
      </c>
      <c r="O65" t="s">
        <v>173</v>
      </c>
      <c r="P65">
        <v>999</v>
      </c>
      <c r="Q65" s="1" t="s">
        <v>94</v>
      </c>
      <c r="R65" s="12">
        <v>44084</v>
      </c>
      <c r="S65" s="12">
        <v>0</v>
      </c>
      <c r="T65" s="12">
        <v>-33906.51</v>
      </c>
      <c r="U65" s="12">
        <v>-24.55</v>
      </c>
      <c r="V65" s="12">
        <v>-33906.51</v>
      </c>
      <c r="W65" s="12">
        <v>0</v>
      </c>
      <c r="X65">
        <v>0</v>
      </c>
      <c r="Y65" t="str">
        <f t="shared" si="0"/>
        <v>Irrecuperable</v>
      </c>
      <c r="Z65">
        <f t="shared" si="1"/>
        <v>5</v>
      </c>
      <c r="AB65" t="e">
        <f>VLOOKUP(A65,rubros_a_considerar!$A$2:$A$13,1,FALSE)</f>
        <v>#N/A</v>
      </c>
      <c r="AO65" t="str">
        <f>IFERROR(VLOOKUP(A65,Diccionario!$C$2:$E$65,3,FALSE),"no")</f>
        <v>Créditos clasificados irrecuperables</v>
      </c>
    </row>
    <row r="66" spans="1:41" x14ac:dyDescent="0.35">
      <c r="A66">
        <v>711046008</v>
      </c>
      <c r="B66">
        <v>80</v>
      </c>
      <c r="C66">
        <v>85616</v>
      </c>
      <c r="D66">
        <v>40219</v>
      </c>
      <c r="E66">
        <v>0</v>
      </c>
      <c r="F66" s="1">
        <v>46142</v>
      </c>
      <c r="G66" s="1" t="s">
        <v>96</v>
      </c>
      <c r="H66" s="1">
        <v>44085</v>
      </c>
      <c r="I66">
        <v>0</v>
      </c>
      <c r="J66">
        <v>0</v>
      </c>
      <c r="K66" s="11">
        <v>0</v>
      </c>
      <c r="L66">
        <v>0</v>
      </c>
      <c r="M66">
        <v>0</v>
      </c>
      <c r="N66" t="s">
        <v>92</v>
      </c>
      <c r="O66" t="s">
        <v>173</v>
      </c>
      <c r="P66">
        <v>999</v>
      </c>
      <c r="Q66" s="1" t="s">
        <v>94</v>
      </c>
      <c r="R66" s="12">
        <v>44085</v>
      </c>
      <c r="S66" s="12">
        <v>0</v>
      </c>
      <c r="T66" s="12">
        <v>-19806.55</v>
      </c>
      <c r="U66" s="12">
        <v>-14.34</v>
      </c>
      <c r="V66" s="12">
        <v>-19806.55</v>
      </c>
      <c r="W66" s="12">
        <v>0</v>
      </c>
      <c r="X66">
        <v>0</v>
      </c>
      <c r="Y66" t="str">
        <f t="shared" ref="Y66:Y129" si="2">TRIM(O66)</f>
        <v>Irrecuperable</v>
      </c>
      <c r="Z66">
        <f t="shared" ref="Z66:Z129" si="3">IF(Y66="Sit.Normal",1,IF(Y66="Riesgo potencia",2,IF(Y66="Con Problemas",3,IF(Y66="Alto Riesgo",4,IF(Y66="Irrecuperable",5,IF(Y66="Irrec Disp Tecn",6,IF(Y66="Sin identificación",0,"")))))))</f>
        <v>5</v>
      </c>
      <c r="AB66" t="e">
        <f>VLOOKUP(A66,rubros_a_considerar!$A$2:$A$13,1,FALSE)</f>
        <v>#N/A</v>
      </c>
      <c r="AO66" t="str">
        <f>IFERROR(VLOOKUP(A66,Diccionario!$C$2:$E$65,3,FALSE),"no")</f>
        <v>Créditos clasificados irrecuperables</v>
      </c>
    </row>
    <row r="67" spans="1:41" x14ac:dyDescent="0.35">
      <c r="A67">
        <v>711046008</v>
      </c>
      <c r="B67">
        <v>80</v>
      </c>
      <c r="C67">
        <v>85626</v>
      </c>
      <c r="D67">
        <v>40233</v>
      </c>
      <c r="E67">
        <v>0</v>
      </c>
      <c r="F67" s="1">
        <v>46142</v>
      </c>
      <c r="G67" s="1" t="s">
        <v>96</v>
      </c>
      <c r="H67" s="1">
        <v>44085</v>
      </c>
      <c r="I67">
        <v>0</v>
      </c>
      <c r="J67">
        <v>0</v>
      </c>
      <c r="K67" s="11">
        <v>0</v>
      </c>
      <c r="L67">
        <v>0</v>
      </c>
      <c r="M67">
        <v>0</v>
      </c>
      <c r="N67" t="s">
        <v>92</v>
      </c>
      <c r="O67" t="s">
        <v>173</v>
      </c>
      <c r="P67">
        <v>999</v>
      </c>
      <c r="Q67" s="1" t="s">
        <v>94</v>
      </c>
      <c r="R67" s="12">
        <v>44085</v>
      </c>
      <c r="S67" s="12">
        <v>0</v>
      </c>
      <c r="T67" s="12">
        <v>-11470.65</v>
      </c>
      <c r="U67" s="12">
        <v>-8.31</v>
      </c>
      <c r="V67" s="12">
        <v>-11470.65</v>
      </c>
      <c r="W67" s="12">
        <v>0</v>
      </c>
      <c r="X67">
        <v>0</v>
      </c>
      <c r="Y67" t="str">
        <f t="shared" si="2"/>
        <v>Irrecuperable</v>
      </c>
      <c r="Z67">
        <f t="shared" si="3"/>
        <v>5</v>
      </c>
      <c r="AB67" t="e">
        <f>VLOOKUP(A67,rubros_a_considerar!$A$2:$A$13,1,FALSE)</f>
        <v>#N/A</v>
      </c>
      <c r="AO67" t="str">
        <f>IFERROR(VLOOKUP(A67,Diccionario!$C$2:$E$65,3,FALSE),"no")</f>
        <v>Créditos clasificados irrecuperables</v>
      </c>
    </row>
    <row r="68" spans="1:41" x14ac:dyDescent="0.35">
      <c r="A68">
        <v>711046008</v>
      </c>
      <c r="B68">
        <v>80</v>
      </c>
      <c r="C68">
        <v>85628</v>
      </c>
      <c r="D68">
        <v>40235</v>
      </c>
      <c r="E68">
        <v>0</v>
      </c>
      <c r="F68" s="1">
        <v>46142</v>
      </c>
      <c r="G68" s="1" t="s">
        <v>96</v>
      </c>
      <c r="H68" s="1">
        <v>43811</v>
      </c>
      <c r="I68">
        <v>0</v>
      </c>
      <c r="J68">
        <v>0</v>
      </c>
      <c r="K68" s="11">
        <v>0</v>
      </c>
      <c r="L68">
        <v>0</v>
      </c>
      <c r="M68">
        <v>0</v>
      </c>
      <c r="N68" t="s">
        <v>92</v>
      </c>
      <c r="O68" t="s">
        <v>173</v>
      </c>
      <c r="P68">
        <v>999</v>
      </c>
      <c r="Q68" s="1" t="s">
        <v>94</v>
      </c>
      <c r="R68" s="12">
        <v>43811</v>
      </c>
      <c r="S68" s="12">
        <v>0</v>
      </c>
      <c r="T68" s="12">
        <v>-88751.4</v>
      </c>
      <c r="U68" s="12">
        <v>-64.260000000000005</v>
      </c>
      <c r="V68" s="12">
        <v>-88751.4</v>
      </c>
      <c r="W68" s="12">
        <v>0</v>
      </c>
      <c r="X68">
        <v>0</v>
      </c>
      <c r="Y68" t="str">
        <f t="shared" si="2"/>
        <v>Irrecuperable</v>
      </c>
      <c r="Z68">
        <f t="shared" si="3"/>
        <v>5</v>
      </c>
      <c r="AB68" t="e">
        <f>VLOOKUP(A68,rubros_a_considerar!$A$2:$A$13,1,FALSE)</f>
        <v>#N/A</v>
      </c>
      <c r="AO68" t="str">
        <f>IFERROR(VLOOKUP(A68,Diccionario!$C$2:$E$65,3,FALSE),"no")</f>
        <v>Créditos clasificados irrecuperables</v>
      </c>
    </row>
    <row r="69" spans="1:41" x14ac:dyDescent="0.35">
      <c r="A69">
        <v>711046008</v>
      </c>
      <c r="B69">
        <v>80</v>
      </c>
      <c r="C69">
        <v>85633</v>
      </c>
      <c r="D69">
        <v>40242</v>
      </c>
      <c r="E69">
        <v>0</v>
      </c>
      <c r="F69" s="1">
        <v>46142</v>
      </c>
      <c r="G69" s="1" t="s">
        <v>96</v>
      </c>
      <c r="H69" s="1">
        <v>43677</v>
      </c>
      <c r="I69">
        <v>0</v>
      </c>
      <c r="J69">
        <v>0</v>
      </c>
      <c r="K69" s="11">
        <v>0</v>
      </c>
      <c r="L69">
        <v>0</v>
      </c>
      <c r="M69">
        <v>0</v>
      </c>
      <c r="N69" t="s">
        <v>92</v>
      </c>
      <c r="O69" t="s">
        <v>173</v>
      </c>
      <c r="P69">
        <v>999</v>
      </c>
      <c r="Q69" s="1" t="s">
        <v>94</v>
      </c>
      <c r="R69" s="12">
        <v>43677</v>
      </c>
      <c r="S69" s="12">
        <v>0</v>
      </c>
      <c r="T69" s="12">
        <v>-67782.350000000006</v>
      </c>
      <c r="U69" s="12">
        <v>-49.08</v>
      </c>
      <c r="V69" s="12">
        <v>-67782.350000000006</v>
      </c>
      <c r="W69" s="12">
        <v>0</v>
      </c>
      <c r="X69">
        <v>0</v>
      </c>
      <c r="Y69" t="str">
        <f t="shared" si="2"/>
        <v>Irrecuperable</v>
      </c>
      <c r="Z69">
        <f t="shared" si="3"/>
        <v>5</v>
      </c>
      <c r="AB69" t="e">
        <f>VLOOKUP(A69,rubros_a_considerar!$A$2:$A$13,1,FALSE)</f>
        <v>#N/A</v>
      </c>
      <c r="AO69" t="str">
        <f>IFERROR(VLOOKUP(A69,Diccionario!$C$2:$E$65,3,FALSE),"no")</f>
        <v>Créditos clasificados irrecuperables</v>
      </c>
    </row>
    <row r="70" spans="1:41" x14ac:dyDescent="0.35">
      <c r="A70">
        <v>711046008</v>
      </c>
      <c r="B70">
        <v>80</v>
      </c>
      <c r="C70">
        <v>85857</v>
      </c>
      <c r="D70">
        <v>41789</v>
      </c>
      <c r="E70">
        <v>0</v>
      </c>
      <c r="F70" s="1">
        <v>46142</v>
      </c>
      <c r="G70" s="1" t="s">
        <v>96</v>
      </c>
      <c r="H70" s="1">
        <v>45138</v>
      </c>
      <c r="I70">
        <v>0</v>
      </c>
      <c r="J70">
        <v>0</v>
      </c>
      <c r="K70" s="11">
        <v>0</v>
      </c>
      <c r="L70">
        <v>0</v>
      </c>
      <c r="M70">
        <v>0</v>
      </c>
      <c r="N70" t="s">
        <v>92</v>
      </c>
      <c r="O70" t="s">
        <v>173</v>
      </c>
      <c r="P70">
        <v>999</v>
      </c>
      <c r="Q70" s="1" t="s">
        <v>94</v>
      </c>
      <c r="R70" s="12">
        <v>45138</v>
      </c>
      <c r="S70" s="12">
        <v>0</v>
      </c>
      <c r="T70" s="12">
        <v>-16046.55</v>
      </c>
      <c r="U70" s="12">
        <v>-11.62</v>
      </c>
      <c r="V70" s="12">
        <v>-16046.55</v>
      </c>
      <c r="W70" s="12">
        <v>0</v>
      </c>
      <c r="X70">
        <v>0</v>
      </c>
      <c r="Y70" t="str">
        <f t="shared" si="2"/>
        <v>Irrecuperable</v>
      </c>
      <c r="Z70">
        <f t="shared" si="3"/>
        <v>5</v>
      </c>
      <c r="AB70" t="e">
        <f>VLOOKUP(A70,rubros_a_considerar!$A$2:$A$13,1,FALSE)</f>
        <v>#N/A</v>
      </c>
      <c r="AO70" t="str">
        <f>IFERROR(VLOOKUP(A70,Diccionario!$C$2:$E$65,3,FALSE),"no")</f>
        <v>Créditos clasificados irrecuperables</v>
      </c>
    </row>
    <row r="71" spans="1:41" x14ac:dyDescent="0.35">
      <c r="A71">
        <v>711046005</v>
      </c>
      <c r="B71">
        <v>80</v>
      </c>
      <c r="C71">
        <v>85995</v>
      </c>
      <c r="D71">
        <v>36463</v>
      </c>
      <c r="E71">
        <v>0</v>
      </c>
      <c r="F71" s="1">
        <v>46142</v>
      </c>
      <c r="G71" s="1" t="s">
        <v>96</v>
      </c>
      <c r="H71" s="1">
        <v>43994</v>
      </c>
      <c r="I71">
        <v>0</v>
      </c>
      <c r="J71">
        <v>0</v>
      </c>
      <c r="K71" s="11">
        <v>0</v>
      </c>
      <c r="L71">
        <v>0</v>
      </c>
      <c r="M71">
        <v>0</v>
      </c>
      <c r="N71" t="s">
        <v>92</v>
      </c>
      <c r="O71" t="s">
        <v>173</v>
      </c>
      <c r="P71">
        <v>451</v>
      </c>
      <c r="Q71" s="1" t="s">
        <v>95</v>
      </c>
      <c r="R71" s="12">
        <v>43994</v>
      </c>
      <c r="S71" s="12">
        <v>0</v>
      </c>
      <c r="T71" s="12">
        <v>-1135874.46</v>
      </c>
      <c r="U71" s="12">
        <v>-822.44</v>
      </c>
      <c r="V71" s="12">
        <v>-1135874.46</v>
      </c>
      <c r="W71" s="12">
        <v>0</v>
      </c>
      <c r="X71">
        <v>0</v>
      </c>
      <c r="Y71" t="str">
        <f t="shared" si="2"/>
        <v>Irrecuperable</v>
      </c>
      <c r="Z71">
        <f t="shared" si="3"/>
        <v>5</v>
      </c>
      <c r="AB71" t="e">
        <f>VLOOKUP(A71,rubros_a_considerar!$A$2:$A$13,1,FALSE)</f>
        <v>#N/A</v>
      </c>
      <c r="AO71" t="str">
        <f>IFERROR(VLOOKUP(A71,Diccionario!$C$2:$E$65,3,FALSE),"no")</f>
        <v>Créditos clasificados irrecuperables</v>
      </c>
    </row>
    <row r="72" spans="1:41" x14ac:dyDescent="0.35">
      <c r="A72">
        <v>711046005</v>
      </c>
      <c r="B72">
        <v>80</v>
      </c>
      <c r="C72">
        <v>86002</v>
      </c>
      <c r="D72">
        <v>36469</v>
      </c>
      <c r="E72">
        <v>0</v>
      </c>
      <c r="F72" s="1">
        <v>46142</v>
      </c>
      <c r="G72" s="1" t="s">
        <v>96</v>
      </c>
      <c r="H72" s="1">
        <v>43993</v>
      </c>
      <c r="I72">
        <v>0</v>
      </c>
      <c r="J72">
        <v>0</v>
      </c>
      <c r="K72" s="11">
        <v>0</v>
      </c>
      <c r="L72">
        <v>0</v>
      </c>
      <c r="M72">
        <v>0</v>
      </c>
      <c r="N72" t="s">
        <v>92</v>
      </c>
      <c r="O72" t="s">
        <v>173</v>
      </c>
      <c r="P72">
        <v>475</v>
      </c>
      <c r="Q72" s="1" t="s">
        <v>95</v>
      </c>
      <c r="R72" s="12">
        <v>43993</v>
      </c>
      <c r="S72" s="12">
        <v>0</v>
      </c>
      <c r="T72" s="12">
        <v>-1151170.1299999999</v>
      </c>
      <c r="U72" s="12">
        <v>-833.52</v>
      </c>
      <c r="V72" s="12">
        <v>-1151170.1299999999</v>
      </c>
      <c r="W72" s="12">
        <v>0</v>
      </c>
      <c r="X72">
        <v>0</v>
      </c>
      <c r="Y72" t="str">
        <f t="shared" si="2"/>
        <v>Irrecuperable</v>
      </c>
      <c r="Z72">
        <f t="shared" si="3"/>
        <v>5</v>
      </c>
      <c r="AB72" t="e">
        <f>VLOOKUP(A72,rubros_a_considerar!$A$2:$A$13,1,FALSE)</f>
        <v>#N/A</v>
      </c>
      <c r="AO72" t="str">
        <f>IFERROR(VLOOKUP(A72,Diccionario!$C$2:$E$65,3,FALSE),"no")</f>
        <v>Créditos clasificados irrecuperables</v>
      </c>
    </row>
    <row r="73" spans="1:41" x14ac:dyDescent="0.35">
      <c r="A73">
        <v>711046013</v>
      </c>
      <c r="B73">
        <v>80</v>
      </c>
      <c r="C73">
        <v>86037</v>
      </c>
      <c r="D73">
        <v>86037</v>
      </c>
      <c r="E73">
        <v>0</v>
      </c>
      <c r="F73" s="1">
        <v>46142</v>
      </c>
      <c r="G73" s="1" t="s">
        <v>96</v>
      </c>
      <c r="H73" s="1">
        <v>44193</v>
      </c>
      <c r="I73">
        <v>0</v>
      </c>
      <c r="J73">
        <v>0</v>
      </c>
      <c r="K73" s="11">
        <v>0</v>
      </c>
      <c r="L73">
        <v>0</v>
      </c>
      <c r="M73">
        <v>0</v>
      </c>
      <c r="N73" t="s">
        <v>92</v>
      </c>
      <c r="O73" t="s">
        <v>173</v>
      </c>
      <c r="P73">
        <v>999</v>
      </c>
      <c r="Q73" s="1" t="s">
        <v>94</v>
      </c>
      <c r="R73" s="12">
        <v>44193</v>
      </c>
      <c r="S73" s="12">
        <v>0</v>
      </c>
      <c r="T73" s="12">
        <v>-316062.99</v>
      </c>
      <c r="U73" s="12">
        <v>-228.85</v>
      </c>
      <c r="V73" s="12">
        <v>-316062.99</v>
      </c>
      <c r="W73" s="12">
        <v>0</v>
      </c>
      <c r="X73">
        <v>0</v>
      </c>
      <c r="Y73" t="str">
        <f t="shared" si="2"/>
        <v>Irrecuperable</v>
      </c>
      <c r="Z73">
        <f t="shared" si="3"/>
        <v>5</v>
      </c>
      <c r="AB73" t="e">
        <f>VLOOKUP(A73,rubros_a_considerar!$A$2:$A$13,1,FALSE)</f>
        <v>#N/A</v>
      </c>
      <c r="AO73" t="str">
        <f>IFERROR(VLOOKUP(A73,Diccionario!$C$2:$E$65,3,FALSE),"no")</f>
        <v>Créditos clasificados irrecuperables</v>
      </c>
    </row>
    <row r="74" spans="1:41" x14ac:dyDescent="0.35">
      <c r="A74">
        <v>711046013</v>
      </c>
      <c r="B74">
        <v>80</v>
      </c>
      <c r="C74">
        <v>86071</v>
      </c>
      <c r="D74">
        <v>86071</v>
      </c>
      <c r="E74">
        <v>0</v>
      </c>
      <c r="F74" s="1">
        <v>46142</v>
      </c>
      <c r="G74" s="1" t="s">
        <v>96</v>
      </c>
      <c r="H74" s="1">
        <v>44769</v>
      </c>
      <c r="I74">
        <v>0</v>
      </c>
      <c r="J74">
        <v>0</v>
      </c>
      <c r="K74" s="11">
        <v>0</v>
      </c>
      <c r="L74">
        <v>0</v>
      </c>
      <c r="M74">
        <v>0</v>
      </c>
      <c r="N74" t="s">
        <v>92</v>
      </c>
      <c r="O74" t="s">
        <v>173</v>
      </c>
      <c r="P74">
        <v>999</v>
      </c>
      <c r="Q74" s="1" t="s">
        <v>94</v>
      </c>
      <c r="R74" s="12">
        <v>44769</v>
      </c>
      <c r="S74" s="12">
        <v>0</v>
      </c>
      <c r="T74" s="12">
        <v>-115897.65</v>
      </c>
      <c r="U74" s="12">
        <v>-83.92</v>
      </c>
      <c r="V74" s="12">
        <v>-115897.65</v>
      </c>
      <c r="W74" s="12">
        <v>0</v>
      </c>
      <c r="X74">
        <v>0</v>
      </c>
      <c r="Y74" t="str">
        <f t="shared" si="2"/>
        <v>Irrecuperable</v>
      </c>
      <c r="Z74">
        <f t="shared" si="3"/>
        <v>5</v>
      </c>
      <c r="AB74" t="e">
        <f>VLOOKUP(A74,rubros_a_considerar!$A$2:$A$13,1,FALSE)</f>
        <v>#N/A</v>
      </c>
      <c r="AO74" t="str">
        <f>IFERROR(VLOOKUP(A74,Diccionario!$C$2:$E$65,3,FALSE),"no")</f>
        <v>Créditos clasificados irrecuperables</v>
      </c>
    </row>
    <row r="75" spans="1:41" x14ac:dyDescent="0.35">
      <c r="A75">
        <v>711046008</v>
      </c>
      <c r="B75">
        <v>80</v>
      </c>
      <c r="C75">
        <v>86708</v>
      </c>
      <c r="D75">
        <v>42098</v>
      </c>
      <c r="E75">
        <v>0</v>
      </c>
      <c r="F75" s="1">
        <v>46142</v>
      </c>
      <c r="G75" s="1" t="s">
        <v>96</v>
      </c>
      <c r="H75" s="1">
        <v>45504</v>
      </c>
      <c r="I75">
        <v>0</v>
      </c>
      <c r="J75">
        <v>0</v>
      </c>
      <c r="K75" s="11">
        <v>0</v>
      </c>
      <c r="L75">
        <v>0</v>
      </c>
      <c r="M75">
        <v>0</v>
      </c>
      <c r="N75" t="s">
        <v>92</v>
      </c>
      <c r="O75" t="s">
        <v>173</v>
      </c>
      <c r="P75">
        <v>999</v>
      </c>
      <c r="Q75" s="1" t="s">
        <v>94</v>
      </c>
      <c r="R75" s="12">
        <v>45504</v>
      </c>
      <c r="S75" s="12">
        <v>0</v>
      </c>
      <c r="T75" s="12">
        <v>-7821.17</v>
      </c>
      <c r="U75" s="12">
        <v>-5.66</v>
      </c>
      <c r="V75" s="12">
        <v>-7821.17</v>
      </c>
      <c r="W75" s="12">
        <v>0</v>
      </c>
      <c r="X75">
        <v>0</v>
      </c>
      <c r="Y75" t="str">
        <f t="shared" si="2"/>
        <v>Irrecuperable</v>
      </c>
      <c r="Z75">
        <f t="shared" si="3"/>
        <v>5</v>
      </c>
      <c r="AB75" t="e">
        <f>VLOOKUP(A75,rubros_a_considerar!$A$2:$A$13,1,FALSE)</f>
        <v>#N/A</v>
      </c>
      <c r="AO75" t="str">
        <f>IFERROR(VLOOKUP(A75,Diccionario!$C$2:$E$65,3,FALSE),"no")</f>
        <v>Créditos clasificados irrecuperables</v>
      </c>
    </row>
    <row r="76" spans="1:41" x14ac:dyDescent="0.35">
      <c r="A76">
        <v>711084004</v>
      </c>
      <c r="B76">
        <v>80</v>
      </c>
      <c r="C76">
        <v>6206</v>
      </c>
      <c r="D76">
        <v>3563</v>
      </c>
      <c r="E76">
        <v>0</v>
      </c>
      <c r="F76" s="1">
        <v>46142</v>
      </c>
      <c r="G76" s="1">
        <v>46417</v>
      </c>
      <c r="H76" s="1">
        <v>46052</v>
      </c>
      <c r="I76">
        <v>365</v>
      </c>
      <c r="J76">
        <v>2</v>
      </c>
      <c r="K76" s="11">
        <v>73</v>
      </c>
      <c r="L76">
        <v>0</v>
      </c>
      <c r="M76">
        <v>0</v>
      </c>
      <c r="N76" t="s">
        <v>92</v>
      </c>
      <c r="O76" t="s">
        <v>93</v>
      </c>
      <c r="P76">
        <v>466</v>
      </c>
      <c r="Q76" s="1" t="s">
        <v>95</v>
      </c>
      <c r="R76" s="12">
        <v>46052</v>
      </c>
      <c r="S76" s="12">
        <v>3000000</v>
      </c>
      <c r="T76" s="12">
        <v>-2977517.2</v>
      </c>
      <c r="U76" s="12">
        <v>-2155.91</v>
      </c>
      <c r="V76" s="12">
        <v>-2977517.2</v>
      </c>
      <c r="W76" s="12">
        <v>0</v>
      </c>
      <c r="X76">
        <v>29775.17</v>
      </c>
      <c r="Y76" t="str">
        <f t="shared" si="2"/>
        <v>Sit.Normal</v>
      </c>
      <c r="Z76">
        <f t="shared" si="3"/>
        <v>1</v>
      </c>
      <c r="AB76">
        <f>VLOOKUP(A76,rubros_a_considerar!$A$2:$A$13,1,FALSE)</f>
        <v>711084004</v>
      </c>
      <c r="AO76" t="str">
        <f>IFERROR(VLOOKUP(A76,Diccionario!$C$2:$E$65,3,FALSE),"no")</f>
        <v>Cuenta contingente deudora por el contrario</v>
      </c>
    </row>
    <row r="77" spans="1:41" x14ac:dyDescent="0.35">
      <c r="A77">
        <v>711084004</v>
      </c>
      <c r="B77">
        <v>80</v>
      </c>
      <c r="C77">
        <v>59750</v>
      </c>
      <c r="D77">
        <v>3553</v>
      </c>
      <c r="E77">
        <v>0</v>
      </c>
      <c r="F77" s="1">
        <v>46142</v>
      </c>
      <c r="G77" s="1">
        <v>46235</v>
      </c>
      <c r="H77" s="1">
        <v>45870</v>
      </c>
      <c r="I77">
        <v>365</v>
      </c>
      <c r="J77">
        <v>2</v>
      </c>
      <c r="K77" s="11">
        <v>52</v>
      </c>
      <c r="L77">
        <v>0</v>
      </c>
      <c r="M77">
        <v>0</v>
      </c>
      <c r="N77" t="s">
        <v>92</v>
      </c>
      <c r="O77" t="s">
        <v>93</v>
      </c>
      <c r="P77">
        <v>103</v>
      </c>
      <c r="Q77" s="1" t="s">
        <v>95</v>
      </c>
      <c r="R77" s="12">
        <v>46129</v>
      </c>
      <c r="S77" s="12">
        <v>8000000</v>
      </c>
      <c r="T77" s="12">
        <v>-652544.85</v>
      </c>
      <c r="U77" s="12">
        <v>-472.48</v>
      </c>
      <c r="V77" s="12">
        <v>-652544.85</v>
      </c>
      <c r="W77" s="12">
        <v>0</v>
      </c>
      <c r="X77">
        <v>6525.45</v>
      </c>
      <c r="Y77" t="str">
        <f t="shared" si="2"/>
        <v>Sit.Normal</v>
      </c>
      <c r="Z77">
        <f t="shared" si="3"/>
        <v>1</v>
      </c>
      <c r="AB77">
        <f>VLOOKUP(A77,rubros_a_considerar!$A$2:$A$13,1,FALSE)</f>
        <v>711084004</v>
      </c>
      <c r="AO77" t="str">
        <f>IFERROR(VLOOKUP(A77,Diccionario!$C$2:$E$65,3,FALSE),"no")</f>
        <v>Cuenta contingente deudora por el contrario</v>
      </c>
    </row>
    <row r="78" spans="1:41" x14ac:dyDescent="0.35">
      <c r="A78">
        <v>711084004</v>
      </c>
      <c r="B78">
        <v>80</v>
      </c>
      <c r="C78">
        <v>85455</v>
      </c>
      <c r="D78">
        <v>3560</v>
      </c>
      <c r="E78">
        <v>0</v>
      </c>
      <c r="F78" s="1">
        <v>46142</v>
      </c>
      <c r="G78" s="1">
        <v>46302</v>
      </c>
      <c r="H78" s="1">
        <v>45937</v>
      </c>
      <c r="I78">
        <v>365</v>
      </c>
      <c r="J78">
        <v>2</v>
      </c>
      <c r="K78" s="11">
        <v>73</v>
      </c>
      <c r="L78">
        <v>0</v>
      </c>
      <c r="M78">
        <v>0</v>
      </c>
      <c r="N78" t="s">
        <v>92</v>
      </c>
      <c r="O78" t="s">
        <v>93</v>
      </c>
      <c r="P78">
        <v>620</v>
      </c>
      <c r="Q78" s="1" t="s">
        <v>95</v>
      </c>
      <c r="R78" s="12">
        <v>45937</v>
      </c>
      <c r="S78" s="12">
        <v>8000000</v>
      </c>
      <c r="T78" s="12">
        <v>-7896543.9000000004</v>
      </c>
      <c r="U78" s="12">
        <v>-5717.59</v>
      </c>
      <c r="V78" s="12">
        <v>-7896543.9000000004</v>
      </c>
      <c r="W78" s="12">
        <v>0</v>
      </c>
      <c r="X78">
        <v>78965.440000000002</v>
      </c>
      <c r="Y78" t="str">
        <f t="shared" si="2"/>
        <v>Sit.Normal</v>
      </c>
      <c r="Z78">
        <f t="shared" si="3"/>
        <v>1</v>
      </c>
      <c r="AB78">
        <f>VLOOKUP(A78,rubros_a_considerar!$A$2:$A$13,1,FALSE)</f>
        <v>711084004</v>
      </c>
      <c r="AO78" t="str">
        <f>IFERROR(VLOOKUP(A78,Diccionario!$C$2:$E$65,3,FALSE),"no")</f>
        <v>Cuenta contingente deudora por el contrario</v>
      </c>
    </row>
    <row r="79" spans="1:41" ht="13.5" customHeight="1" x14ac:dyDescent="0.35">
      <c r="A79">
        <v>141154001</v>
      </c>
      <c r="B79">
        <v>80</v>
      </c>
      <c r="C79">
        <v>55257</v>
      </c>
      <c r="D79">
        <v>42940</v>
      </c>
      <c r="E79">
        <v>0</v>
      </c>
      <c r="F79" s="1">
        <v>46142</v>
      </c>
      <c r="G79" s="1" t="s">
        <v>96</v>
      </c>
      <c r="H79" s="1">
        <v>46142</v>
      </c>
      <c r="I79">
        <v>0</v>
      </c>
      <c r="J79">
        <v>0</v>
      </c>
      <c r="K79" s="11">
        <v>0</v>
      </c>
      <c r="L79">
        <v>0</v>
      </c>
      <c r="M79">
        <v>0</v>
      </c>
      <c r="N79" t="s">
        <v>92</v>
      </c>
      <c r="O79" t="s">
        <v>93</v>
      </c>
      <c r="P79">
        <v>999</v>
      </c>
      <c r="Q79" s="1" t="s">
        <v>94</v>
      </c>
      <c r="R79" s="12">
        <v>46142</v>
      </c>
      <c r="S79" s="12">
        <v>0</v>
      </c>
      <c r="T79" s="12">
        <v>-9141.9</v>
      </c>
      <c r="U79" s="12">
        <v>-6.62</v>
      </c>
      <c r="V79" s="12">
        <v>-9141.9</v>
      </c>
      <c r="W79" s="12">
        <v>0</v>
      </c>
      <c r="X79">
        <v>91.42</v>
      </c>
      <c r="Y79" t="str">
        <f t="shared" si="2"/>
        <v>Sit.Normal</v>
      </c>
      <c r="Z79">
        <f t="shared" si="3"/>
        <v>1</v>
      </c>
      <c r="AB79">
        <f>VLOOKUP(A79,rubros_a_considerar!$A$2:$A$13,1,FALSE)</f>
        <v>141154001</v>
      </c>
      <c r="AO79" t="str">
        <f>IFERROR(VLOOKUP(A79,Diccionario!$C$2:$E$65,3,FALSE),"no")</f>
        <v>IVA Debito Fiscal no Cobrados</v>
      </c>
    </row>
    <row r="80" spans="1:41" x14ac:dyDescent="0.35">
      <c r="A80">
        <v>141154001</v>
      </c>
      <c r="B80">
        <v>80</v>
      </c>
      <c r="C80">
        <v>55476</v>
      </c>
      <c r="D80">
        <v>42932</v>
      </c>
      <c r="E80">
        <v>0</v>
      </c>
      <c r="F80" s="1">
        <v>46142</v>
      </c>
      <c r="G80" s="1" t="s">
        <v>96</v>
      </c>
      <c r="H80" s="1">
        <v>46142</v>
      </c>
      <c r="I80">
        <v>0</v>
      </c>
      <c r="J80">
        <v>0</v>
      </c>
      <c r="K80" s="11">
        <v>0</v>
      </c>
      <c r="L80">
        <v>0</v>
      </c>
      <c r="M80">
        <v>0</v>
      </c>
      <c r="N80" t="s">
        <v>92</v>
      </c>
      <c r="O80" t="s">
        <v>93</v>
      </c>
      <c r="P80">
        <v>999</v>
      </c>
      <c r="Q80" s="1" t="s">
        <v>94</v>
      </c>
      <c r="R80" s="12">
        <v>46142</v>
      </c>
      <c r="S80" s="12">
        <v>0</v>
      </c>
      <c r="T80" s="12">
        <v>-3428.21</v>
      </c>
      <c r="U80" s="12">
        <v>-2.48</v>
      </c>
      <c r="V80" s="12">
        <v>-3428.21</v>
      </c>
      <c r="W80" s="12">
        <v>0</v>
      </c>
      <c r="X80">
        <v>34.28</v>
      </c>
      <c r="Y80" t="str">
        <f t="shared" si="2"/>
        <v>Sit.Normal</v>
      </c>
      <c r="Z80">
        <f t="shared" si="3"/>
        <v>1</v>
      </c>
      <c r="AB80">
        <f>VLOOKUP(A80,rubros_a_considerar!$A$2:$A$13,1,FALSE)</f>
        <v>141154001</v>
      </c>
      <c r="AO80" t="str">
        <f>IFERROR(VLOOKUP(A80,Diccionario!$C$2:$E$65,3,FALSE),"no")</f>
        <v>IVA Debito Fiscal no Cobrados</v>
      </c>
    </row>
    <row r="81" spans="1:41" x14ac:dyDescent="0.35">
      <c r="A81">
        <v>141154001</v>
      </c>
      <c r="B81">
        <v>80</v>
      </c>
      <c r="C81">
        <v>56956</v>
      </c>
      <c r="D81">
        <v>42856</v>
      </c>
      <c r="E81">
        <v>0</v>
      </c>
      <c r="F81" s="1">
        <v>46142</v>
      </c>
      <c r="G81" s="1" t="s">
        <v>96</v>
      </c>
      <c r="H81" s="1">
        <v>46142</v>
      </c>
      <c r="I81">
        <v>0</v>
      </c>
      <c r="J81">
        <v>0</v>
      </c>
      <c r="K81" s="11">
        <v>0</v>
      </c>
      <c r="L81">
        <v>0</v>
      </c>
      <c r="M81">
        <v>0</v>
      </c>
      <c r="N81" t="s">
        <v>92</v>
      </c>
      <c r="O81" t="s">
        <v>93</v>
      </c>
      <c r="P81">
        <v>999</v>
      </c>
      <c r="Q81" s="1" t="s">
        <v>94</v>
      </c>
      <c r="R81" s="12">
        <v>46142</v>
      </c>
      <c r="S81" s="12">
        <v>0</v>
      </c>
      <c r="T81" s="12">
        <v>-2691.65</v>
      </c>
      <c r="U81" s="12">
        <v>-1.95</v>
      </c>
      <c r="V81" s="12">
        <v>-2691.65</v>
      </c>
      <c r="W81" s="12">
        <v>0</v>
      </c>
      <c r="X81">
        <v>26.92</v>
      </c>
      <c r="Y81" t="str">
        <f t="shared" si="2"/>
        <v>Sit.Normal</v>
      </c>
      <c r="Z81">
        <f t="shared" si="3"/>
        <v>1</v>
      </c>
      <c r="AB81">
        <f>VLOOKUP(A81,rubros_a_considerar!$A$2:$A$13,1,FALSE)</f>
        <v>141154001</v>
      </c>
      <c r="AO81" t="str">
        <f>IFERROR(VLOOKUP(A81,Diccionario!$C$2:$E$65,3,FALSE),"no")</f>
        <v>IVA Debito Fiscal no Cobrados</v>
      </c>
    </row>
    <row r="82" spans="1:41" x14ac:dyDescent="0.35">
      <c r="A82">
        <v>141154001</v>
      </c>
      <c r="B82">
        <v>80</v>
      </c>
      <c r="C82">
        <v>57332</v>
      </c>
      <c r="D82">
        <v>42861</v>
      </c>
      <c r="E82">
        <v>0</v>
      </c>
      <c r="F82" s="1">
        <v>46142</v>
      </c>
      <c r="G82" s="1" t="s">
        <v>96</v>
      </c>
      <c r="H82" s="1">
        <v>46142</v>
      </c>
      <c r="I82">
        <v>0</v>
      </c>
      <c r="J82">
        <v>0</v>
      </c>
      <c r="K82" s="11">
        <v>0</v>
      </c>
      <c r="L82">
        <v>0</v>
      </c>
      <c r="M82">
        <v>0</v>
      </c>
      <c r="N82" t="s">
        <v>92</v>
      </c>
      <c r="O82" t="s">
        <v>93</v>
      </c>
      <c r="P82">
        <v>999</v>
      </c>
      <c r="Q82" s="1" t="s">
        <v>94</v>
      </c>
      <c r="R82" s="12">
        <v>46142</v>
      </c>
      <c r="S82" s="12">
        <v>0</v>
      </c>
      <c r="T82" s="12">
        <v>-3217.07</v>
      </c>
      <c r="U82" s="12">
        <v>-2.33</v>
      </c>
      <c r="V82" s="12">
        <v>-3217.07</v>
      </c>
      <c r="W82" s="12">
        <v>0</v>
      </c>
      <c r="X82">
        <v>32.17</v>
      </c>
      <c r="Y82" t="str">
        <f t="shared" si="2"/>
        <v>Sit.Normal</v>
      </c>
      <c r="Z82">
        <f t="shared" si="3"/>
        <v>1</v>
      </c>
      <c r="AB82">
        <f>VLOOKUP(A82,rubros_a_considerar!$A$2:$A$13,1,FALSE)</f>
        <v>141154001</v>
      </c>
      <c r="AO82" t="str">
        <f>IFERROR(VLOOKUP(A82,Diccionario!$C$2:$E$65,3,FALSE),"no")</f>
        <v>IVA Debito Fiscal no Cobrados</v>
      </c>
    </row>
    <row r="83" spans="1:41" x14ac:dyDescent="0.35">
      <c r="A83">
        <v>141154001</v>
      </c>
      <c r="B83">
        <v>80</v>
      </c>
      <c r="C83">
        <v>57497</v>
      </c>
      <c r="D83">
        <v>42937</v>
      </c>
      <c r="E83">
        <v>0</v>
      </c>
      <c r="F83" s="1">
        <v>46142</v>
      </c>
      <c r="G83" s="1" t="s">
        <v>96</v>
      </c>
      <c r="H83" s="1">
        <v>46142</v>
      </c>
      <c r="I83">
        <v>0</v>
      </c>
      <c r="J83">
        <v>0</v>
      </c>
      <c r="K83" s="11">
        <v>0</v>
      </c>
      <c r="L83">
        <v>0</v>
      </c>
      <c r="M83">
        <v>0</v>
      </c>
      <c r="N83" t="s">
        <v>92</v>
      </c>
      <c r="O83" t="s">
        <v>93</v>
      </c>
      <c r="P83">
        <v>999</v>
      </c>
      <c r="Q83" s="1" t="s">
        <v>94</v>
      </c>
      <c r="R83" s="12">
        <v>46142</v>
      </c>
      <c r="S83" s="12">
        <v>0</v>
      </c>
      <c r="T83" s="12">
        <v>-9314.39</v>
      </c>
      <c r="U83" s="12">
        <v>-6.74</v>
      </c>
      <c r="V83" s="12">
        <v>-9314.39</v>
      </c>
      <c r="W83" s="12">
        <v>0</v>
      </c>
      <c r="X83">
        <v>93.14</v>
      </c>
      <c r="Y83" t="str">
        <f t="shared" si="2"/>
        <v>Sit.Normal</v>
      </c>
      <c r="Z83">
        <f t="shared" si="3"/>
        <v>1</v>
      </c>
      <c r="AB83">
        <f>VLOOKUP(A83,rubros_a_considerar!$A$2:$A$13,1,FALSE)</f>
        <v>141154001</v>
      </c>
      <c r="AO83" t="str">
        <f>IFERROR(VLOOKUP(A83,Diccionario!$C$2:$E$65,3,FALSE),"no")</f>
        <v>IVA Debito Fiscal no Cobrados</v>
      </c>
    </row>
    <row r="84" spans="1:41" x14ac:dyDescent="0.35">
      <c r="A84">
        <v>141154001</v>
      </c>
      <c r="B84">
        <v>80</v>
      </c>
      <c r="C84">
        <v>57649</v>
      </c>
      <c r="D84">
        <v>42906</v>
      </c>
      <c r="E84">
        <v>0</v>
      </c>
      <c r="F84" s="1">
        <v>46142</v>
      </c>
      <c r="G84" s="1" t="s">
        <v>96</v>
      </c>
      <c r="H84" s="1">
        <v>46142</v>
      </c>
      <c r="I84">
        <v>0</v>
      </c>
      <c r="J84">
        <v>0</v>
      </c>
      <c r="K84" s="11">
        <v>0</v>
      </c>
      <c r="L84">
        <v>0</v>
      </c>
      <c r="M84">
        <v>0</v>
      </c>
      <c r="N84" t="s">
        <v>92</v>
      </c>
      <c r="O84" t="s">
        <v>93</v>
      </c>
      <c r="P84">
        <v>999</v>
      </c>
      <c r="Q84" s="1" t="s">
        <v>94</v>
      </c>
      <c r="R84" s="12">
        <v>46142</v>
      </c>
      <c r="S84" s="12">
        <v>0</v>
      </c>
      <c r="T84" s="12">
        <v>-2625.33</v>
      </c>
      <c r="U84" s="12">
        <v>-1.9</v>
      </c>
      <c r="V84" s="12">
        <v>-2625.33</v>
      </c>
      <c r="W84" s="12">
        <v>0</v>
      </c>
      <c r="X84">
        <v>26.25</v>
      </c>
      <c r="Y84" t="str">
        <f t="shared" si="2"/>
        <v>Sit.Normal</v>
      </c>
      <c r="Z84">
        <f t="shared" si="3"/>
        <v>1</v>
      </c>
      <c r="AB84">
        <f>VLOOKUP(A84,rubros_a_considerar!$A$2:$A$13,1,FALSE)</f>
        <v>141154001</v>
      </c>
      <c r="AO84" t="str">
        <f>IFERROR(VLOOKUP(A84,Diccionario!$C$2:$E$65,3,FALSE),"no")</f>
        <v>IVA Debito Fiscal no Cobrados</v>
      </c>
    </row>
    <row r="85" spans="1:41" x14ac:dyDescent="0.35">
      <c r="A85">
        <v>141154001</v>
      </c>
      <c r="B85">
        <v>80</v>
      </c>
      <c r="C85">
        <v>83381</v>
      </c>
      <c r="D85">
        <v>42930</v>
      </c>
      <c r="E85">
        <v>0</v>
      </c>
      <c r="F85" s="1">
        <v>46142</v>
      </c>
      <c r="G85" s="1" t="s">
        <v>96</v>
      </c>
      <c r="H85" s="1">
        <v>46142</v>
      </c>
      <c r="I85">
        <v>0</v>
      </c>
      <c r="J85">
        <v>0</v>
      </c>
      <c r="K85" s="11">
        <v>0</v>
      </c>
      <c r="L85">
        <v>0</v>
      </c>
      <c r="M85">
        <v>0</v>
      </c>
      <c r="N85" t="s">
        <v>92</v>
      </c>
      <c r="O85" t="s">
        <v>93</v>
      </c>
      <c r="P85">
        <v>999</v>
      </c>
      <c r="Q85" s="1" t="s">
        <v>94</v>
      </c>
      <c r="R85" s="12">
        <v>46142</v>
      </c>
      <c r="S85" s="12">
        <v>0</v>
      </c>
      <c r="T85" s="12">
        <v>-3656.76</v>
      </c>
      <c r="U85" s="12">
        <v>-2.65</v>
      </c>
      <c r="V85" s="12">
        <v>-3656.76</v>
      </c>
      <c r="W85" s="12">
        <v>0</v>
      </c>
      <c r="X85">
        <v>36.57</v>
      </c>
      <c r="Y85" t="str">
        <f t="shared" si="2"/>
        <v>Sit.Normal</v>
      </c>
      <c r="Z85">
        <f t="shared" si="3"/>
        <v>1</v>
      </c>
      <c r="AB85">
        <f>VLOOKUP(A85,rubros_a_considerar!$A$2:$A$13,1,FALSE)</f>
        <v>141154001</v>
      </c>
      <c r="AO85" t="str">
        <f>IFERROR(VLOOKUP(A85,Diccionario!$C$2:$E$65,3,FALSE),"no")</f>
        <v>IVA Debito Fiscal no Cobrados</v>
      </c>
    </row>
    <row r="86" spans="1:41" x14ac:dyDescent="0.35">
      <c r="A86">
        <v>141154001</v>
      </c>
      <c r="B86">
        <v>80</v>
      </c>
      <c r="C86">
        <v>84457</v>
      </c>
      <c r="D86">
        <v>42922</v>
      </c>
      <c r="E86">
        <v>0</v>
      </c>
      <c r="F86" s="1">
        <v>46142</v>
      </c>
      <c r="G86" s="1" t="s">
        <v>96</v>
      </c>
      <c r="H86" s="1">
        <v>46142</v>
      </c>
      <c r="I86">
        <v>0</v>
      </c>
      <c r="J86">
        <v>0</v>
      </c>
      <c r="K86" s="11">
        <v>0</v>
      </c>
      <c r="L86">
        <v>0</v>
      </c>
      <c r="M86">
        <v>0</v>
      </c>
      <c r="N86" t="s">
        <v>92</v>
      </c>
      <c r="O86" t="s">
        <v>93</v>
      </c>
      <c r="P86">
        <v>999</v>
      </c>
      <c r="Q86" s="1" t="s">
        <v>94</v>
      </c>
      <c r="R86" s="12">
        <v>46142</v>
      </c>
      <c r="S86" s="12">
        <v>0</v>
      </c>
      <c r="T86" s="12">
        <v>-8847.35</v>
      </c>
      <c r="U86" s="12">
        <v>-6.41</v>
      </c>
      <c r="V86" s="12">
        <v>-8847.35</v>
      </c>
      <c r="W86" s="12">
        <v>0</v>
      </c>
      <c r="X86">
        <v>88.47</v>
      </c>
      <c r="Y86" t="str">
        <f t="shared" si="2"/>
        <v>Sit.Normal</v>
      </c>
      <c r="Z86">
        <f t="shared" si="3"/>
        <v>1</v>
      </c>
      <c r="AB86">
        <f>VLOOKUP(A86,rubros_a_considerar!$A$2:$A$13,1,FALSE)</f>
        <v>141154001</v>
      </c>
      <c r="AO86" t="str">
        <f>IFERROR(VLOOKUP(A86,Diccionario!$C$2:$E$65,3,FALSE),"no")</f>
        <v>IVA Debito Fiscal no Cobrados</v>
      </c>
    </row>
    <row r="87" spans="1:41" x14ac:dyDescent="0.35">
      <c r="A87">
        <v>141154001</v>
      </c>
      <c r="B87">
        <v>80</v>
      </c>
      <c r="C87">
        <v>84662</v>
      </c>
      <c r="D87">
        <v>42960</v>
      </c>
      <c r="E87">
        <v>0</v>
      </c>
      <c r="F87" s="1">
        <v>46142</v>
      </c>
      <c r="G87" s="1" t="s">
        <v>96</v>
      </c>
      <c r="H87" s="1">
        <v>46142</v>
      </c>
      <c r="I87">
        <v>0</v>
      </c>
      <c r="J87">
        <v>0</v>
      </c>
      <c r="K87" s="11">
        <v>0</v>
      </c>
      <c r="L87">
        <v>0</v>
      </c>
      <c r="M87">
        <v>0</v>
      </c>
      <c r="N87" t="s">
        <v>92</v>
      </c>
      <c r="O87" t="s">
        <v>93</v>
      </c>
      <c r="P87">
        <v>999</v>
      </c>
      <c r="Q87" s="1" t="s">
        <v>94</v>
      </c>
      <c r="R87" s="12">
        <v>46142</v>
      </c>
      <c r="S87" s="12">
        <v>0</v>
      </c>
      <c r="T87" s="12">
        <v>-9450</v>
      </c>
      <c r="U87" s="12">
        <v>-6.84</v>
      </c>
      <c r="V87" s="12">
        <v>-9450</v>
      </c>
      <c r="W87" s="12">
        <v>0</v>
      </c>
      <c r="X87">
        <v>94.5</v>
      </c>
      <c r="Y87" t="str">
        <f t="shared" si="2"/>
        <v>Sit.Normal</v>
      </c>
      <c r="Z87">
        <f t="shared" si="3"/>
        <v>1</v>
      </c>
      <c r="AB87">
        <f>VLOOKUP(A87,rubros_a_considerar!$A$2:$A$13,1,FALSE)</f>
        <v>141154001</v>
      </c>
      <c r="AO87" t="str">
        <f>IFERROR(VLOOKUP(A87,Diccionario!$C$2:$E$65,3,FALSE),"no")</f>
        <v>IVA Debito Fiscal no Cobrados</v>
      </c>
    </row>
    <row r="88" spans="1:41" x14ac:dyDescent="0.35">
      <c r="A88">
        <v>141154001</v>
      </c>
      <c r="B88">
        <v>80</v>
      </c>
      <c r="C88">
        <v>85825</v>
      </c>
      <c r="D88">
        <v>42947</v>
      </c>
      <c r="E88">
        <v>0</v>
      </c>
      <c r="F88" s="1">
        <v>46142</v>
      </c>
      <c r="G88" s="1" t="s">
        <v>96</v>
      </c>
      <c r="H88" s="1">
        <v>46142</v>
      </c>
      <c r="I88">
        <v>0</v>
      </c>
      <c r="J88">
        <v>0</v>
      </c>
      <c r="K88" s="11">
        <v>0</v>
      </c>
      <c r="L88">
        <v>0</v>
      </c>
      <c r="M88">
        <v>0</v>
      </c>
      <c r="N88" t="s">
        <v>92</v>
      </c>
      <c r="O88" t="s">
        <v>93</v>
      </c>
      <c r="P88">
        <v>999</v>
      </c>
      <c r="Q88" s="1" t="s">
        <v>94</v>
      </c>
      <c r="R88" s="12">
        <v>46142</v>
      </c>
      <c r="S88" s="12">
        <v>0</v>
      </c>
      <c r="T88" s="12">
        <v>-9481.27</v>
      </c>
      <c r="U88" s="12">
        <v>-6.87</v>
      </c>
      <c r="V88" s="12">
        <v>-9481.27</v>
      </c>
      <c r="W88" s="12">
        <v>0</v>
      </c>
      <c r="X88">
        <v>94.81</v>
      </c>
      <c r="Y88" t="str">
        <f t="shared" si="2"/>
        <v>Sit.Normal</v>
      </c>
      <c r="Z88">
        <f t="shared" si="3"/>
        <v>1</v>
      </c>
      <c r="AB88">
        <f>VLOOKUP(A88,rubros_a_considerar!$A$2:$A$13,1,FALSE)</f>
        <v>141154001</v>
      </c>
      <c r="AO88" t="str">
        <f>IFERROR(VLOOKUP(A88,Diccionario!$C$2:$E$65,3,FALSE),"no")</f>
        <v>IVA Debito Fiscal no Cobrados</v>
      </c>
    </row>
    <row r="89" spans="1:41" x14ac:dyDescent="0.35">
      <c r="A89">
        <v>141154001</v>
      </c>
      <c r="B89">
        <v>80</v>
      </c>
      <c r="C89">
        <v>86152</v>
      </c>
      <c r="D89">
        <v>42805</v>
      </c>
      <c r="E89">
        <v>0</v>
      </c>
      <c r="F89" s="1">
        <v>46142</v>
      </c>
      <c r="G89" s="1" t="s">
        <v>96</v>
      </c>
      <c r="H89" s="1">
        <v>46142</v>
      </c>
      <c r="I89">
        <v>0</v>
      </c>
      <c r="J89">
        <v>0</v>
      </c>
      <c r="K89" s="11">
        <v>0</v>
      </c>
      <c r="L89">
        <v>0</v>
      </c>
      <c r="M89">
        <v>0</v>
      </c>
      <c r="N89" t="s">
        <v>92</v>
      </c>
      <c r="O89" t="s">
        <v>93</v>
      </c>
      <c r="P89">
        <v>999</v>
      </c>
      <c r="Q89" s="1" t="s">
        <v>94</v>
      </c>
      <c r="R89" s="12">
        <v>46142</v>
      </c>
      <c r="S89" s="12">
        <v>0</v>
      </c>
      <c r="T89" s="12">
        <v>-707.32</v>
      </c>
      <c r="U89" s="12">
        <v>-0.51</v>
      </c>
      <c r="V89" s="12">
        <v>-707.32</v>
      </c>
      <c r="W89" s="12">
        <v>0</v>
      </c>
      <c r="X89">
        <v>7.07</v>
      </c>
      <c r="Y89" t="str">
        <f t="shared" si="2"/>
        <v>Sit.Normal</v>
      </c>
      <c r="Z89">
        <f t="shared" si="3"/>
        <v>1</v>
      </c>
      <c r="AB89">
        <f>VLOOKUP(A89,rubros_a_considerar!$A$2:$A$13,1,FALSE)</f>
        <v>141154001</v>
      </c>
      <c r="AO89" t="str">
        <f>IFERROR(VLOOKUP(A89,Diccionario!$C$2:$E$65,3,FALSE),"no")</f>
        <v>IVA Debito Fiscal no Cobrados</v>
      </c>
    </row>
    <row r="90" spans="1:41" x14ac:dyDescent="0.35">
      <c r="A90">
        <v>141154001</v>
      </c>
      <c r="B90">
        <v>80</v>
      </c>
      <c r="C90">
        <v>86245</v>
      </c>
      <c r="D90">
        <v>42921</v>
      </c>
      <c r="E90">
        <v>0</v>
      </c>
      <c r="F90" s="1">
        <v>46142</v>
      </c>
      <c r="G90" s="1" t="s">
        <v>96</v>
      </c>
      <c r="H90" s="1">
        <v>46142</v>
      </c>
      <c r="I90">
        <v>0</v>
      </c>
      <c r="J90">
        <v>0</v>
      </c>
      <c r="K90" s="11">
        <v>0</v>
      </c>
      <c r="L90">
        <v>0</v>
      </c>
      <c r="M90">
        <v>0</v>
      </c>
      <c r="N90" t="s">
        <v>92</v>
      </c>
      <c r="O90" t="s">
        <v>93</v>
      </c>
      <c r="P90">
        <v>999</v>
      </c>
      <c r="Q90" s="1" t="s">
        <v>94</v>
      </c>
      <c r="R90" s="12">
        <v>46142</v>
      </c>
      <c r="S90" s="12">
        <v>0</v>
      </c>
      <c r="T90" s="12">
        <v>-4976.63</v>
      </c>
      <c r="U90" s="12">
        <v>-3.6</v>
      </c>
      <c r="V90" s="12">
        <v>-4976.63</v>
      </c>
      <c r="W90" s="12">
        <v>0</v>
      </c>
      <c r="X90">
        <v>49.77</v>
      </c>
      <c r="Y90" t="str">
        <f t="shared" si="2"/>
        <v>Sit.Normal</v>
      </c>
      <c r="Z90">
        <f t="shared" si="3"/>
        <v>1</v>
      </c>
      <c r="AB90">
        <f>VLOOKUP(A90,rubros_a_considerar!$A$2:$A$13,1,FALSE)</f>
        <v>141154001</v>
      </c>
      <c r="AO90" t="str">
        <f>IFERROR(VLOOKUP(A90,Diccionario!$C$2:$E$65,3,FALSE),"no")</f>
        <v>IVA Debito Fiscal no Cobrados</v>
      </c>
    </row>
    <row r="91" spans="1:41" x14ac:dyDescent="0.35">
      <c r="A91">
        <v>141154001</v>
      </c>
      <c r="B91">
        <v>80</v>
      </c>
      <c r="C91">
        <v>86563</v>
      </c>
      <c r="D91">
        <v>42806</v>
      </c>
      <c r="E91">
        <v>0</v>
      </c>
      <c r="F91" s="1">
        <v>46142</v>
      </c>
      <c r="G91" s="1" t="s">
        <v>96</v>
      </c>
      <c r="H91" s="1">
        <v>46142</v>
      </c>
      <c r="I91">
        <v>0</v>
      </c>
      <c r="J91">
        <v>0</v>
      </c>
      <c r="K91" s="11">
        <v>0</v>
      </c>
      <c r="L91">
        <v>0</v>
      </c>
      <c r="M91">
        <v>0</v>
      </c>
      <c r="N91" t="s">
        <v>92</v>
      </c>
      <c r="O91" t="s">
        <v>93</v>
      </c>
      <c r="P91">
        <v>999</v>
      </c>
      <c r="Q91" s="1" t="s">
        <v>94</v>
      </c>
      <c r="R91" s="12">
        <v>46142</v>
      </c>
      <c r="S91" s="12">
        <v>0</v>
      </c>
      <c r="T91" s="12">
        <v>-1108.73</v>
      </c>
      <c r="U91" s="12">
        <v>-0.8</v>
      </c>
      <c r="V91" s="12">
        <v>-1108.73</v>
      </c>
      <c r="W91" s="12">
        <v>0</v>
      </c>
      <c r="X91">
        <v>11.09</v>
      </c>
      <c r="Y91" t="str">
        <f t="shared" si="2"/>
        <v>Sit.Normal</v>
      </c>
      <c r="Z91">
        <f t="shared" si="3"/>
        <v>1</v>
      </c>
      <c r="AB91">
        <f>VLOOKUP(A91,rubros_a_considerar!$A$2:$A$13,1,FALSE)</f>
        <v>141154001</v>
      </c>
      <c r="AO91" t="str">
        <f>IFERROR(VLOOKUP(A91,Diccionario!$C$2:$E$65,3,FALSE),"no")</f>
        <v>IVA Debito Fiscal no Cobrados</v>
      </c>
    </row>
    <row r="92" spans="1:41" x14ac:dyDescent="0.35">
      <c r="A92">
        <v>141154001</v>
      </c>
      <c r="B92">
        <v>80</v>
      </c>
      <c r="C92">
        <v>86774</v>
      </c>
      <c r="D92">
        <v>42931</v>
      </c>
      <c r="E92">
        <v>0</v>
      </c>
      <c r="F92" s="1">
        <v>46142</v>
      </c>
      <c r="G92" s="1" t="s">
        <v>96</v>
      </c>
      <c r="H92" s="1">
        <v>46142</v>
      </c>
      <c r="I92">
        <v>0</v>
      </c>
      <c r="J92">
        <v>0</v>
      </c>
      <c r="K92" s="11">
        <v>0</v>
      </c>
      <c r="L92">
        <v>0</v>
      </c>
      <c r="M92">
        <v>0</v>
      </c>
      <c r="N92" t="s">
        <v>92</v>
      </c>
      <c r="O92" t="s">
        <v>93</v>
      </c>
      <c r="P92">
        <v>999</v>
      </c>
      <c r="Q92" s="1" t="s">
        <v>94</v>
      </c>
      <c r="R92" s="12">
        <v>46142</v>
      </c>
      <c r="S92" s="12">
        <v>0</v>
      </c>
      <c r="T92" s="12">
        <v>-9141.9</v>
      </c>
      <c r="U92" s="12">
        <v>-6.62</v>
      </c>
      <c r="V92" s="12">
        <v>-9141.9</v>
      </c>
      <c r="W92" s="12">
        <v>0</v>
      </c>
      <c r="X92">
        <v>91.42</v>
      </c>
      <c r="Y92" t="str">
        <f t="shared" si="2"/>
        <v>Sit.Normal</v>
      </c>
      <c r="Z92">
        <f t="shared" si="3"/>
        <v>1</v>
      </c>
      <c r="AB92">
        <f>VLOOKUP(A92,rubros_a_considerar!$A$2:$A$13,1,FALSE)</f>
        <v>141154001</v>
      </c>
      <c r="AO92" t="str">
        <f>IFERROR(VLOOKUP(A92,Diccionario!$C$2:$E$65,3,FALSE),"no")</f>
        <v>IVA Debito Fiscal no Cobrados</v>
      </c>
    </row>
    <row r="93" spans="1:41" x14ac:dyDescent="0.35">
      <c r="A93">
        <v>141154001</v>
      </c>
      <c r="B93">
        <v>80</v>
      </c>
      <c r="C93">
        <v>86807</v>
      </c>
      <c r="D93">
        <v>42880</v>
      </c>
      <c r="E93">
        <v>0</v>
      </c>
      <c r="F93" s="1">
        <v>46142</v>
      </c>
      <c r="G93" s="1" t="s">
        <v>96</v>
      </c>
      <c r="H93" s="1">
        <v>46142</v>
      </c>
      <c r="I93">
        <v>0</v>
      </c>
      <c r="J93">
        <v>0</v>
      </c>
      <c r="K93" s="11">
        <v>0</v>
      </c>
      <c r="L93">
        <v>0</v>
      </c>
      <c r="M93">
        <v>0</v>
      </c>
      <c r="N93" t="s">
        <v>92</v>
      </c>
      <c r="O93" t="s">
        <v>93</v>
      </c>
      <c r="P93">
        <v>999</v>
      </c>
      <c r="Q93" s="1" t="s">
        <v>94</v>
      </c>
      <c r="R93" s="12">
        <v>46142</v>
      </c>
      <c r="S93" s="12">
        <v>0</v>
      </c>
      <c r="T93" s="12">
        <v>-6306.34</v>
      </c>
      <c r="U93" s="12">
        <v>-4.57</v>
      </c>
      <c r="V93" s="12">
        <v>-6306.34</v>
      </c>
      <c r="W93" s="12">
        <v>0</v>
      </c>
      <c r="X93">
        <v>63.06</v>
      </c>
      <c r="Y93" t="str">
        <f t="shared" si="2"/>
        <v>Sit.Normal</v>
      </c>
      <c r="Z93">
        <f t="shared" si="3"/>
        <v>1</v>
      </c>
      <c r="AB93">
        <f>VLOOKUP(A93,rubros_a_considerar!$A$2:$A$13,1,FALSE)</f>
        <v>141154001</v>
      </c>
      <c r="AO93" t="str">
        <f>IFERROR(VLOOKUP(A93,Diccionario!$C$2:$E$65,3,FALSE),"no")</f>
        <v>IVA Debito Fiscal no Cobrados</v>
      </c>
    </row>
    <row r="94" spans="1:41" x14ac:dyDescent="0.35">
      <c r="A94">
        <v>141154001</v>
      </c>
      <c r="B94">
        <v>80</v>
      </c>
      <c r="C94">
        <v>86883</v>
      </c>
      <c r="D94">
        <v>42962</v>
      </c>
      <c r="E94">
        <v>0</v>
      </c>
      <c r="F94" s="1">
        <v>46142</v>
      </c>
      <c r="G94" s="1" t="s">
        <v>96</v>
      </c>
      <c r="H94" s="1">
        <v>46142</v>
      </c>
      <c r="I94">
        <v>0</v>
      </c>
      <c r="J94">
        <v>0</v>
      </c>
      <c r="K94" s="11">
        <v>0</v>
      </c>
      <c r="L94">
        <v>0</v>
      </c>
      <c r="M94">
        <v>0</v>
      </c>
      <c r="N94" t="s">
        <v>92</v>
      </c>
      <c r="O94" t="s">
        <v>93</v>
      </c>
      <c r="P94">
        <v>999</v>
      </c>
      <c r="Q94" s="1" t="s">
        <v>94</v>
      </c>
      <c r="R94" s="12">
        <v>46142</v>
      </c>
      <c r="S94" s="12">
        <v>0</v>
      </c>
      <c r="T94" s="12">
        <v>-10416</v>
      </c>
      <c r="U94" s="12">
        <v>-7.54</v>
      </c>
      <c r="V94" s="12">
        <v>-10416</v>
      </c>
      <c r="W94" s="12">
        <v>0</v>
      </c>
      <c r="X94">
        <v>104.16</v>
      </c>
      <c r="Y94" t="str">
        <f t="shared" si="2"/>
        <v>Sit.Normal</v>
      </c>
      <c r="Z94">
        <f t="shared" si="3"/>
        <v>1</v>
      </c>
      <c r="AB94">
        <f>VLOOKUP(A94,rubros_a_considerar!$A$2:$A$13,1,FALSE)</f>
        <v>141154001</v>
      </c>
      <c r="AO94" t="str">
        <f>IFERROR(VLOOKUP(A94,Diccionario!$C$2:$E$65,3,FALSE),"no")</f>
        <v>IVA Debito Fiscal no Cobrados</v>
      </c>
    </row>
    <row r="95" spans="1:41" x14ac:dyDescent="0.35">
      <c r="A95">
        <v>131715001</v>
      </c>
      <c r="B95">
        <v>80</v>
      </c>
      <c r="C95">
        <v>6206</v>
      </c>
      <c r="D95">
        <v>36882</v>
      </c>
      <c r="E95">
        <v>0</v>
      </c>
      <c r="F95" s="1">
        <v>46142</v>
      </c>
      <c r="G95" s="1">
        <v>46178</v>
      </c>
      <c r="H95" s="1">
        <v>45082</v>
      </c>
      <c r="I95">
        <v>1080</v>
      </c>
      <c r="J95">
        <v>2</v>
      </c>
      <c r="K95" s="11">
        <v>66</v>
      </c>
      <c r="L95">
        <v>1</v>
      </c>
      <c r="M95">
        <v>2</v>
      </c>
      <c r="N95" t="s">
        <v>92</v>
      </c>
      <c r="O95" t="s">
        <v>93</v>
      </c>
      <c r="P95">
        <v>466</v>
      </c>
      <c r="Q95" s="1" t="s">
        <v>95</v>
      </c>
      <c r="R95" s="12">
        <v>45082</v>
      </c>
      <c r="S95" s="12">
        <v>1250000</v>
      </c>
      <c r="T95" s="12">
        <v>-147670.72</v>
      </c>
      <c r="U95" s="12">
        <v>-106.92</v>
      </c>
      <c r="V95" s="12">
        <v>-147670.72</v>
      </c>
      <c r="W95" s="12">
        <v>-6675.53</v>
      </c>
      <c r="X95">
        <v>1543.46</v>
      </c>
      <c r="Y95" t="str">
        <f t="shared" si="2"/>
        <v>Sit.Normal</v>
      </c>
      <c r="Z95">
        <f t="shared" si="3"/>
        <v>1</v>
      </c>
      <c r="AB95">
        <f>VLOOKUP(A95,rubros_a_considerar!$A$2:$A$13,1,FALSE)</f>
        <v>131715001</v>
      </c>
      <c r="AO95" t="str">
        <f>IFERROR(VLOOKUP(A95,Diccionario!$C$2:$E$65,3,FALSE),"no")</f>
        <v>Prestamos a Sola Firma</v>
      </c>
    </row>
    <row r="96" spans="1:41" x14ac:dyDescent="0.35">
      <c r="A96">
        <v>131715001</v>
      </c>
      <c r="B96">
        <v>80</v>
      </c>
      <c r="C96">
        <v>13957</v>
      </c>
      <c r="D96">
        <v>36870</v>
      </c>
      <c r="E96">
        <v>0</v>
      </c>
      <c r="F96" s="1">
        <v>46142</v>
      </c>
      <c r="G96" s="1">
        <v>46307</v>
      </c>
      <c r="H96" s="1">
        <v>44845</v>
      </c>
      <c r="I96">
        <v>1441</v>
      </c>
      <c r="J96">
        <v>2</v>
      </c>
      <c r="K96" s="11">
        <v>66</v>
      </c>
      <c r="L96">
        <v>1</v>
      </c>
      <c r="M96">
        <v>2</v>
      </c>
      <c r="N96" t="s">
        <v>92</v>
      </c>
      <c r="O96" t="s">
        <v>93</v>
      </c>
      <c r="P96">
        <v>202</v>
      </c>
      <c r="Q96" s="1" t="s">
        <v>95</v>
      </c>
      <c r="R96" s="12">
        <v>44845</v>
      </c>
      <c r="S96" s="12">
        <v>2000000</v>
      </c>
      <c r="T96" s="12">
        <v>-592060.44999999995</v>
      </c>
      <c r="U96" s="12">
        <v>-428.69</v>
      </c>
      <c r="V96" s="12">
        <v>-592060.44999999995</v>
      </c>
      <c r="W96" s="12">
        <v>-19270.349999999999</v>
      </c>
      <c r="X96">
        <v>6113.31</v>
      </c>
      <c r="Y96" t="str">
        <f t="shared" si="2"/>
        <v>Sit.Normal</v>
      </c>
      <c r="Z96">
        <f t="shared" si="3"/>
        <v>1</v>
      </c>
      <c r="AB96">
        <f>VLOOKUP(A96,rubros_a_considerar!$A$2:$A$13,1,FALSE)</f>
        <v>131715001</v>
      </c>
      <c r="AO96" t="str">
        <f>IFERROR(VLOOKUP(A96,Diccionario!$C$2:$E$65,3,FALSE),"no")</f>
        <v>Prestamos a Sola Firma</v>
      </c>
    </row>
    <row r="97" spans="1:41" x14ac:dyDescent="0.35">
      <c r="A97">
        <v>131715001</v>
      </c>
      <c r="B97">
        <v>80</v>
      </c>
      <c r="C97">
        <v>13957</v>
      </c>
      <c r="D97">
        <v>36869</v>
      </c>
      <c r="E97">
        <v>0</v>
      </c>
      <c r="F97" s="1">
        <v>46142</v>
      </c>
      <c r="G97" s="1">
        <v>46279</v>
      </c>
      <c r="H97" s="1">
        <v>44818</v>
      </c>
      <c r="I97">
        <v>1440</v>
      </c>
      <c r="J97">
        <v>2</v>
      </c>
      <c r="K97" s="11">
        <v>66</v>
      </c>
      <c r="L97">
        <v>1</v>
      </c>
      <c r="M97">
        <v>2</v>
      </c>
      <c r="N97" t="s">
        <v>92</v>
      </c>
      <c r="O97" t="s">
        <v>93</v>
      </c>
      <c r="P97">
        <v>202</v>
      </c>
      <c r="Q97" s="1" t="s">
        <v>95</v>
      </c>
      <c r="R97" s="12">
        <v>44818</v>
      </c>
      <c r="S97" s="12">
        <v>3000000</v>
      </c>
      <c r="T97" s="12">
        <v>-756500.84</v>
      </c>
      <c r="U97" s="12">
        <v>-547.75</v>
      </c>
      <c r="V97" s="12">
        <v>-756500.84</v>
      </c>
      <c r="W97" s="12">
        <v>-23254.63</v>
      </c>
      <c r="X97">
        <v>7797.55</v>
      </c>
      <c r="Y97" t="str">
        <f t="shared" si="2"/>
        <v>Sit.Normal</v>
      </c>
      <c r="Z97">
        <f t="shared" si="3"/>
        <v>1</v>
      </c>
      <c r="AB97">
        <f>VLOOKUP(A97,rubros_a_considerar!$A$2:$A$13,1,FALSE)</f>
        <v>131715001</v>
      </c>
      <c r="AO97" t="str">
        <f>IFERROR(VLOOKUP(A97,Diccionario!$C$2:$E$65,3,FALSE),"no")</f>
        <v>Prestamos a Sola Firma</v>
      </c>
    </row>
    <row r="98" spans="1:41" x14ac:dyDescent="0.35">
      <c r="A98">
        <v>171112001</v>
      </c>
      <c r="B98">
        <v>80</v>
      </c>
      <c r="C98">
        <v>2366</v>
      </c>
      <c r="D98">
        <v>42674</v>
      </c>
      <c r="E98">
        <v>0</v>
      </c>
      <c r="F98" s="1">
        <v>46142</v>
      </c>
      <c r="G98" s="1">
        <v>46605</v>
      </c>
      <c r="H98" s="1">
        <v>45510</v>
      </c>
      <c r="I98">
        <v>1095</v>
      </c>
      <c r="J98">
        <v>2</v>
      </c>
      <c r="K98" s="11">
        <v>46</v>
      </c>
      <c r="L98">
        <v>2</v>
      </c>
      <c r="M98">
        <v>2</v>
      </c>
      <c r="N98" t="s">
        <v>92</v>
      </c>
      <c r="O98" t="s">
        <v>93</v>
      </c>
      <c r="P98">
        <v>999</v>
      </c>
      <c r="Q98" s="1" t="s">
        <v>94</v>
      </c>
      <c r="R98" s="12">
        <v>45510</v>
      </c>
      <c r="S98" s="12">
        <v>2000000</v>
      </c>
      <c r="T98" s="12">
        <v>-1136349.6000000001</v>
      </c>
      <c r="U98" s="12">
        <v>-822.79</v>
      </c>
      <c r="V98" s="12">
        <v>-1136349.6000000001</v>
      </c>
      <c r="W98" s="12">
        <v>-26462.94</v>
      </c>
      <c r="X98">
        <v>11628.13</v>
      </c>
      <c r="Y98" t="str">
        <f t="shared" si="2"/>
        <v>Sit.Normal</v>
      </c>
      <c r="Z98">
        <f t="shared" si="3"/>
        <v>1</v>
      </c>
      <c r="AB98">
        <f>VLOOKUP(A98,rubros_a_considerar!$A$2:$A$13,1,FALSE)</f>
        <v>171112001</v>
      </c>
      <c r="AO98" t="str">
        <f>IFERROR(VLOOKUP(A98,Diccionario!$C$2:$E$65,3,FALSE),"no")</f>
        <v>Prestamos Personales</v>
      </c>
    </row>
    <row r="99" spans="1:41" x14ac:dyDescent="0.35">
      <c r="A99">
        <v>171112001</v>
      </c>
      <c r="B99">
        <v>80</v>
      </c>
      <c r="C99">
        <v>3833</v>
      </c>
      <c r="D99">
        <v>42898</v>
      </c>
      <c r="E99">
        <v>0</v>
      </c>
      <c r="F99" s="1">
        <v>46142</v>
      </c>
      <c r="G99" s="1">
        <v>46321</v>
      </c>
      <c r="H99" s="1">
        <v>45954</v>
      </c>
      <c r="I99">
        <v>367</v>
      </c>
      <c r="J99">
        <v>2</v>
      </c>
      <c r="K99" s="11">
        <v>46</v>
      </c>
      <c r="L99">
        <v>2</v>
      </c>
      <c r="M99">
        <v>2</v>
      </c>
      <c r="N99" t="s">
        <v>92</v>
      </c>
      <c r="O99" t="s">
        <v>93</v>
      </c>
      <c r="P99">
        <v>999</v>
      </c>
      <c r="Q99" s="1" t="s">
        <v>94</v>
      </c>
      <c r="R99" s="12">
        <v>45954</v>
      </c>
      <c r="S99" s="12">
        <v>3500000</v>
      </c>
      <c r="T99" s="12">
        <v>-1983381.91</v>
      </c>
      <c r="U99" s="12">
        <v>-1436.09</v>
      </c>
      <c r="V99" s="12">
        <v>-1983381.91</v>
      </c>
      <c r="W99" s="12">
        <v>-20920.599999999999</v>
      </c>
      <c r="X99">
        <v>20043.03</v>
      </c>
      <c r="Y99" t="str">
        <f t="shared" si="2"/>
        <v>Sit.Normal</v>
      </c>
      <c r="Z99">
        <f t="shared" si="3"/>
        <v>1</v>
      </c>
      <c r="AB99">
        <f>VLOOKUP(A99,rubros_a_considerar!$A$2:$A$13,1,FALSE)</f>
        <v>171112001</v>
      </c>
      <c r="AO99" t="str">
        <f>IFERROR(VLOOKUP(A99,Diccionario!$C$2:$E$65,3,FALSE),"no")</f>
        <v>Prestamos Personales</v>
      </c>
    </row>
    <row r="100" spans="1:41" x14ac:dyDescent="0.35">
      <c r="A100">
        <v>171112001</v>
      </c>
      <c r="B100">
        <v>80</v>
      </c>
      <c r="C100">
        <v>13377</v>
      </c>
      <c r="D100">
        <v>42672</v>
      </c>
      <c r="E100">
        <v>0</v>
      </c>
      <c r="F100" s="1">
        <v>46142</v>
      </c>
      <c r="G100" s="1">
        <v>46591</v>
      </c>
      <c r="H100" s="1">
        <v>45496</v>
      </c>
      <c r="I100">
        <v>1095</v>
      </c>
      <c r="J100">
        <v>2</v>
      </c>
      <c r="K100" s="11">
        <v>46</v>
      </c>
      <c r="L100">
        <v>2</v>
      </c>
      <c r="M100">
        <v>2</v>
      </c>
      <c r="N100" t="s">
        <v>92</v>
      </c>
      <c r="O100" t="s">
        <v>93</v>
      </c>
      <c r="P100">
        <v>999</v>
      </c>
      <c r="Q100" s="1" t="s">
        <v>94</v>
      </c>
      <c r="R100" s="12">
        <v>45496</v>
      </c>
      <c r="S100" s="12">
        <v>10000000</v>
      </c>
      <c r="T100" s="12">
        <v>-5399443.5599999996</v>
      </c>
      <c r="U100" s="12">
        <v>-3909.54</v>
      </c>
      <c r="V100" s="12">
        <v>-5399443.5599999996</v>
      </c>
      <c r="W100" s="12">
        <v>-40236.949999999997</v>
      </c>
      <c r="X100">
        <v>54396.81</v>
      </c>
      <c r="Y100" t="str">
        <f t="shared" si="2"/>
        <v>Sit.Normal</v>
      </c>
      <c r="Z100">
        <f t="shared" si="3"/>
        <v>1</v>
      </c>
      <c r="AB100">
        <f>VLOOKUP(A100,rubros_a_considerar!$A$2:$A$13,1,FALSE)</f>
        <v>171112001</v>
      </c>
      <c r="AO100" t="str">
        <f>IFERROR(VLOOKUP(A100,Diccionario!$C$2:$E$65,3,FALSE),"no")</f>
        <v>Prestamos Personales</v>
      </c>
    </row>
    <row r="101" spans="1:41" x14ac:dyDescent="0.35">
      <c r="A101">
        <v>171112001</v>
      </c>
      <c r="B101">
        <v>80</v>
      </c>
      <c r="C101">
        <v>14998</v>
      </c>
      <c r="D101">
        <v>42985</v>
      </c>
      <c r="E101">
        <v>0</v>
      </c>
      <c r="F101" s="1">
        <v>46142</v>
      </c>
      <c r="G101" s="1">
        <v>47602</v>
      </c>
      <c r="H101" s="1">
        <v>46140</v>
      </c>
      <c r="I101">
        <v>1441</v>
      </c>
      <c r="J101">
        <v>2</v>
      </c>
      <c r="K101" s="11">
        <v>55</v>
      </c>
      <c r="L101">
        <v>1</v>
      </c>
      <c r="M101">
        <v>2</v>
      </c>
      <c r="N101" t="s">
        <v>92</v>
      </c>
      <c r="O101" t="s">
        <v>93</v>
      </c>
      <c r="P101">
        <v>999</v>
      </c>
      <c r="Q101" s="1" t="s">
        <v>94</v>
      </c>
      <c r="R101" s="12">
        <v>46140</v>
      </c>
      <c r="S101" s="12">
        <v>10000000</v>
      </c>
      <c r="T101" s="12">
        <v>-10000000</v>
      </c>
      <c r="U101" s="12">
        <v>-7240.63</v>
      </c>
      <c r="V101" s="12">
        <v>-10000000</v>
      </c>
      <c r="W101" s="12">
        <v>-45205.48</v>
      </c>
      <c r="X101">
        <v>100452.05</v>
      </c>
      <c r="Y101" t="str">
        <f t="shared" si="2"/>
        <v>Sit.Normal</v>
      </c>
      <c r="Z101">
        <f t="shared" si="3"/>
        <v>1</v>
      </c>
      <c r="AB101">
        <f>VLOOKUP(A101,rubros_a_considerar!$A$2:$A$13,1,FALSE)</f>
        <v>171112001</v>
      </c>
      <c r="AO101" t="str">
        <f>IFERROR(VLOOKUP(A101,Diccionario!$C$2:$E$65,3,FALSE),"no")</f>
        <v>Prestamos Personales</v>
      </c>
    </row>
    <row r="102" spans="1:41" x14ac:dyDescent="0.35">
      <c r="A102">
        <v>171112001</v>
      </c>
      <c r="B102">
        <v>80</v>
      </c>
      <c r="C102">
        <v>19542</v>
      </c>
      <c r="D102">
        <v>42968</v>
      </c>
      <c r="E102">
        <v>0</v>
      </c>
      <c r="F102" s="1">
        <v>46142</v>
      </c>
      <c r="G102" s="1">
        <v>46842</v>
      </c>
      <c r="H102" s="1">
        <v>46101</v>
      </c>
      <c r="I102">
        <v>730</v>
      </c>
      <c r="J102">
        <v>2</v>
      </c>
      <c r="K102" s="11">
        <v>46</v>
      </c>
      <c r="L102">
        <v>1</v>
      </c>
      <c r="M102">
        <v>2</v>
      </c>
      <c r="N102" t="s">
        <v>92</v>
      </c>
      <c r="O102" t="s">
        <v>93</v>
      </c>
      <c r="P102">
        <v>999</v>
      </c>
      <c r="Q102" s="1" t="s">
        <v>94</v>
      </c>
      <c r="R102" s="12">
        <v>46101</v>
      </c>
      <c r="S102" s="12">
        <v>1500000</v>
      </c>
      <c r="T102" s="12">
        <v>-1485192.6</v>
      </c>
      <c r="U102" s="12">
        <v>-1075.3699999999999</v>
      </c>
      <c r="V102" s="12">
        <v>-1485192.6</v>
      </c>
      <c r="W102" s="12">
        <v>-2237.96</v>
      </c>
      <c r="X102">
        <v>14874.31</v>
      </c>
      <c r="Y102" t="str">
        <f t="shared" si="2"/>
        <v>Sit.Normal</v>
      </c>
      <c r="Z102">
        <f t="shared" si="3"/>
        <v>1</v>
      </c>
      <c r="AB102">
        <f>VLOOKUP(A102,rubros_a_considerar!$A$2:$A$13,1,FALSE)</f>
        <v>171112001</v>
      </c>
      <c r="AO102" t="str">
        <f>IFERROR(VLOOKUP(A102,Diccionario!$C$2:$E$65,3,FALSE),"no")</f>
        <v>Prestamos Personales</v>
      </c>
    </row>
    <row r="103" spans="1:41" x14ac:dyDescent="0.35">
      <c r="A103">
        <v>171112001</v>
      </c>
      <c r="B103">
        <v>80</v>
      </c>
      <c r="C103">
        <v>19542</v>
      </c>
      <c r="D103">
        <v>42901</v>
      </c>
      <c r="E103">
        <v>0</v>
      </c>
      <c r="F103" s="1">
        <v>46142</v>
      </c>
      <c r="G103" s="1">
        <v>47053</v>
      </c>
      <c r="H103" s="1">
        <v>45957</v>
      </c>
      <c r="I103">
        <v>1096</v>
      </c>
      <c r="J103">
        <v>2</v>
      </c>
      <c r="K103" s="11">
        <v>46</v>
      </c>
      <c r="L103">
        <v>2</v>
      </c>
      <c r="M103">
        <v>2</v>
      </c>
      <c r="N103" t="s">
        <v>92</v>
      </c>
      <c r="O103" t="s">
        <v>93</v>
      </c>
      <c r="P103">
        <v>999</v>
      </c>
      <c r="Q103" s="1" t="s">
        <v>94</v>
      </c>
      <c r="R103" s="12">
        <v>45957</v>
      </c>
      <c r="S103" s="12">
        <v>2750000</v>
      </c>
      <c r="T103" s="12">
        <v>-2537115.38</v>
      </c>
      <c r="U103" s="12">
        <v>-1837.03</v>
      </c>
      <c r="V103" s="12">
        <v>-2537115.38</v>
      </c>
      <c r="W103" s="12">
        <v>-15292.2</v>
      </c>
      <c r="X103">
        <v>25524.080000000002</v>
      </c>
      <c r="Y103" t="str">
        <f t="shared" si="2"/>
        <v>Sit.Normal</v>
      </c>
      <c r="Z103">
        <f t="shared" si="3"/>
        <v>1</v>
      </c>
      <c r="AB103">
        <f>VLOOKUP(A103,rubros_a_considerar!$A$2:$A$13,1,FALSE)</f>
        <v>171112001</v>
      </c>
      <c r="AO103" t="str">
        <f>IFERROR(VLOOKUP(A103,Diccionario!$C$2:$E$65,3,FALSE),"no")</f>
        <v>Prestamos Personales</v>
      </c>
    </row>
    <row r="104" spans="1:41" x14ac:dyDescent="0.35">
      <c r="A104">
        <v>171112001</v>
      </c>
      <c r="B104">
        <v>80</v>
      </c>
      <c r="C104">
        <v>19542</v>
      </c>
      <c r="D104">
        <v>42680</v>
      </c>
      <c r="E104">
        <v>0</v>
      </c>
      <c r="F104" s="1">
        <v>46142</v>
      </c>
      <c r="G104" s="1">
        <v>46611</v>
      </c>
      <c r="H104" s="1">
        <v>45516</v>
      </c>
      <c r="I104">
        <v>1095</v>
      </c>
      <c r="J104">
        <v>2</v>
      </c>
      <c r="K104" s="11">
        <v>46</v>
      </c>
      <c r="L104">
        <v>2</v>
      </c>
      <c r="M104">
        <v>2</v>
      </c>
      <c r="N104" t="s">
        <v>92</v>
      </c>
      <c r="O104" t="s">
        <v>93</v>
      </c>
      <c r="P104">
        <v>999</v>
      </c>
      <c r="Q104" s="1" t="s">
        <v>94</v>
      </c>
      <c r="R104" s="12">
        <v>45516</v>
      </c>
      <c r="S104" s="12">
        <v>10000000</v>
      </c>
      <c r="T104" s="12">
        <v>-5687761.9299999997</v>
      </c>
      <c r="U104" s="12">
        <v>-4118.3</v>
      </c>
      <c r="V104" s="12">
        <v>-5687761.9299999997</v>
      </c>
      <c r="W104" s="12">
        <v>-95367.4</v>
      </c>
      <c r="X104">
        <v>57831.29</v>
      </c>
      <c r="Y104" t="str">
        <f t="shared" si="2"/>
        <v>Sit.Normal</v>
      </c>
      <c r="Z104">
        <f t="shared" si="3"/>
        <v>1</v>
      </c>
      <c r="AB104">
        <f>VLOOKUP(A104,rubros_a_considerar!$A$2:$A$13,1,FALSE)</f>
        <v>171112001</v>
      </c>
      <c r="AO104" t="str">
        <f>IFERROR(VLOOKUP(A104,Diccionario!$C$2:$E$65,3,FALSE),"no")</f>
        <v>Prestamos Personales</v>
      </c>
    </row>
    <row r="105" spans="1:41" x14ac:dyDescent="0.35">
      <c r="A105">
        <v>171112001</v>
      </c>
      <c r="B105">
        <v>80</v>
      </c>
      <c r="C105">
        <v>54541</v>
      </c>
      <c r="D105">
        <v>42833</v>
      </c>
      <c r="E105">
        <v>0</v>
      </c>
      <c r="F105" s="1">
        <v>46142</v>
      </c>
      <c r="G105" s="1">
        <v>47287</v>
      </c>
      <c r="H105" s="1">
        <v>45825</v>
      </c>
      <c r="I105">
        <v>1462</v>
      </c>
      <c r="J105">
        <v>2</v>
      </c>
      <c r="K105" s="11">
        <v>34</v>
      </c>
      <c r="L105">
        <v>2</v>
      </c>
      <c r="M105">
        <v>2</v>
      </c>
      <c r="N105" t="s">
        <v>92</v>
      </c>
      <c r="O105" t="s">
        <v>93</v>
      </c>
      <c r="P105">
        <v>999</v>
      </c>
      <c r="Q105" s="1" t="s">
        <v>94</v>
      </c>
      <c r="R105" s="12">
        <v>45825</v>
      </c>
      <c r="S105" s="12">
        <v>10000000</v>
      </c>
      <c r="T105" s="12">
        <v>-8856137.5</v>
      </c>
      <c r="U105" s="12">
        <v>-6412.4</v>
      </c>
      <c r="V105" s="12">
        <v>-8856137.5</v>
      </c>
      <c r="W105" s="12">
        <v>-115493.74</v>
      </c>
      <c r="X105">
        <v>89716.31</v>
      </c>
      <c r="Y105" t="str">
        <f t="shared" si="2"/>
        <v>Sit.Normal</v>
      </c>
      <c r="Z105">
        <f t="shared" si="3"/>
        <v>1</v>
      </c>
      <c r="AB105">
        <f>VLOOKUP(A105,rubros_a_considerar!$A$2:$A$13,1,FALSE)</f>
        <v>171112001</v>
      </c>
      <c r="AO105" t="str">
        <f>IFERROR(VLOOKUP(A105,Diccionario!$C$2:$E$65,3,FALSE),"no")</f>
        <v>Prestamos Personales</v>
      </c>
    </row>
    <row r="106" spans="1:41" x14ac:dyDescent="0.35">
      <c r="A106">
        <v>171112001</v>
      </c>
      <c r="B106">
        <v>80</v>
      </c>
      <c r="C106">
        <v>54541</v>
      </c>
      <c r="D106">
        <v>42832</v>
      </c>
      <c r="E106">
        <v>0</v>
      </c>
      <c r="F106" s="1">
        <v>46142</v>
      </c>
      <c r="G106" s="1">
        <v>47282</v>
      </c>
      <c r="H106" s="1">
        <v>45821</v>
      </c>
      <c r="I106">
        <v>1461</v>
      </c>
      <c r="J106">
        <v>2</v>
      </c>
      <c r="K106" s="11">
        <v>34</v>
      </c>
      <c r="L106">
        <v>2</v>
      </c>
      <c r="M106">
        <v>2</v>
      </c>
      <c r="N106" t="s">
        <v>92</v>
      </c>
      <c r="O106" t="s">
        <v>93</v>
      </c>
      <c r="P106">
        <v>999</v>
      </c>
      <c r="Q106" s="1" t="s">
        <v>94</v>
      </c>
      <c r="R106" s="12">
        <v>45821</v>
      </c>
      <c r="S106" s="12">
        <v>10000000</v>
      </c>
      <c r="T106" s="12">
        <v>-8856599.1899999995</v>
      </c>
      <c r="U106" s="12">
        <v>-6412.74</v>
      </c>
      <c r="V106" s="12">
        <v>-8856599.1899999995</v>
      </c>
      <c r="W106" s="12">
        <v>-148499.69</v>
      </c>
      <c r="X106">
        <v>90050.99</v>
      </c>
      <c r="Y106" t="str">
        <f t="shared" si="2"/>
        <v>Sit.Normal</v>
      </c>
      <c r="Z106">
        <f t="shared" si="3"/>
        <v>1</v>
      </c>
      <c r="AB106">
        <f>VLOOKUP(A106,rubros_a_considerar!$A$2:$A$13,1,FALSE)</f>
        <v>171112001</v>
      </c>
      <c r="AO106" t="str">
        <f>IFERROR(VLOOKUP(A106,Diccionario!$C$2:$E$65,3,FALSE),"no")</f>
        <v>Prestamos Personales</v>
      </c>
    </row>
    <row r="107" spans="1:41" x14ac:dyDescent="0.35">
      <c r="A107">
        <v>171112001</v>
      </c>
      <c r="B107">
        <v>80</v>
      </c>
      <c r="C107">
        <v>54718</v>
      </c>
      <c r="D107">
        <v>42846</v>
      </c>
      <c r="E107">
        <v>0</v>
      </c>
      <c r="F107" s="1">
        <v>46142</v>
      </c>
      <c r="G107" s="1">
        <v>46218</v>
      </c>
      <c r="H107" s="1">
        <v>45853</v>
      </c>
      <c r="I107">
        <v>365</v>
      </c>
      <c r="J107">
        <v>2</v>
      </c>
      <c r="K107" s="11">
        <v>46</v>
      </c>
      <c r="L107">
        <v>2</v>
      </c>
      <c r="M107">
        <v>2</v>
      </c>
      <c r="N107" t="s">
        <v>92</v>
      </c>
      <c r="O107" t="s">
        <v>93</v>
      </c>
      <c r="P107">
        <v>999</v>
      </c>
      <c r="Q107" s="1" t="s">
        <v>94</v>
      </c>
      <c r="R107" s="12">
        <v>45853</v>
      </c>
      <c r="S107" s="12">
        <v>800000</v>
      </c>
      <c r="T107" s="12">
        <v>-226113.67</v>
      </c>
      <c r="U107" s="12">
        <v>-163.72</v>
      </c>
      <c r="V107" s="12">
        <v>-226113.67</v>
      </c>
      <c r="W107" s="12">
        <v>-3370.02</v>
      </c>
      <c r="X107">
        <v>2294.84</v>
      </c>
      <c r="Y107" t="str">
        <f t="shared" si="2"/>
        <v>Sit.Normal</v>
      </c>
      <c r="Z107">
        <f t="shared" si="3"/>
        <v>1</v>
      </c>
      <c r="AB107">
        <f>VLOOKUP(A107,rubros_a_considerar!$A$2:$A$13,1,FALSE)</f>
        <v>171112001</v>
      </c>
      <c r="AO107" t="str">
        <f>IFERROR(VLOOKUP(A107,Diccionario!$C$2:$E$65,3,FALSE),"no")</f>
        <v>Prestamos Personales</v>
      </c>
    </row>
    <row r="108" spans="1:41" x14ac:dyDescent="0.35">
      <c r="A108">
        <v>171112001</v>
      </c>
      <c r="B108">
        <v>80</v>
      </c>
      <c r="C108">
        <v>54718</v>
      </c>
      <c r="D108">
        <v>42762</v>
      </c>
      <c r="E108">
        <v>0</v>
      </c>
      <c r="F108" s="1">
        <v>46142</v>
      </c>
      <c r="G108" s="1">
        <v>47149</v>
      </c>
      <c r="H108" s="1">
        <v>45688</v>
      </c>
      <c r="I108">
        <v>1461</v>
      </c>
      <c r="J108">
        <v>2</v>
      </c>
      <c r="K108" s="11">
        <v>34</v>
      </c>
      <c r="L108">
        <v>2</v>
      </c>
      <c r="M108">
        <v>2</v>
      </c>
      <c r="N108" t="s">
        <v>92</v>
      </c>
      <c r="O108" t="s">
        <v>93</v>
      </c>
      <c r="P108">
        <v>999</v>
      </c>
      <c r="Q108" s="1" t="s">
        <v>94</v>
      </c>
      <c r="R108" s="12">
        <v>45688</v>
      </c>
      <c r="S108" s="12">
        <v>9500000</v>
      </c>
      <c r="T108" s="12">
        <v>-7731292.3099999996</v>
      </c>
      <c r="U108" s="12">
        <v>-5597.94</v>
      </c>
      <c r="V108" s="12">
        <v>-7731292.3099999996</v>
      </c>
      <c r="W108" s="12">
        <v>-7201.75</v>
      </c>
      <c r="X108">
        <v>77384.94</v>
      </c>
      <c r="Y108" t="str">
        <f t="shared" si="2"/>
        <v>Sit.Normal</v>
      </c>
      <c r="Z108">
        <f t="shared" si="3"/>
        <v>1</v>
      </c>
      <c r="AB108">
        <f>VLOOKUP(A108,rubros_a_considerar!$A$2:$A$13,1,FALSE)</f>
        <v>171112001</v>
      </c>
      <c r="AO108" t="str">
        <f>IFERROR(VLOOKUP(A108,Diccionario!$C$2:$E$65,3,FALSE),"no")</f>
        <v>Prestamos Personales</v>
      </c>
    </row>
    <row r="109" spans="1:41" x14ac:dyDescent="0.35">
      <c r="A109">
        <v>131731003</v>
      </c>
      <c r="B109">
        <v>80</v>
      </c>
      <c r="C109">
        <v>55257</v>
      </c>
      <c r="D109">
        <v>42940</v>
      </c>
      <c r="E109">
        <v>0</v>
      </c>
      <c r="F109" s="1">
        <v>46142</v>
      </c>
      <c r="G109" s="1">
        <v>46406</v>
      </c>
      <c r="H109" s="1">
        <v>46041</v>
      </c>
      <c r="I109">
        <v>360</v>
      </c>
      <c r="J109">
        <v>2</v>
      </c>
      <c r="K109" s="11">
        <v>73</v>
      </c>
      <c r="L109">
        <v>1</v>
      </c>
      <c r="M109">
        <v>2</v>
      </c>
      <c r="N109" t="s">
        <v>92</v>
      </c>
      <c r="O109" t="s">
        <v>93</v>
      </c>
      <c r="P109">
        <v>999</v>
      </c>
      <c r="Q109" s="1" t="s">
        <v>94</v>
      </c>
      <c r="R109" s="12">
        <v>46041</v>
      </c>
      <c r="S109" s="12">
        <v>800000</v>
      </c>
      <c r="T109" s="12">
        <v>-702143.04</v>
      </c>
      <c r="U109" s="12">
        <v>-508.4</v>
      </c>
      <c r="V109" s="12">
        <v>-702143.04</v>
      </c>
      <c r="W109" s="12">
        <v>-57836.67</v>
      </c>
      <c r="X109">
        <v>7599.8</v>
      </c>
      <c r="Y109" t="str">
        <f t="shared" si="2"/>
        <v>Sit.Normal</v>
      </c>
      <c r="Z109">
        <f t="shared" si="3"/>
        <v>1</v>
      </c>
      <c r="AB109">
        <f>VLOOKUP(A109,rubros_a_considerar!$A$2:$A$13,1,FALSE)</f>
        <v>131731003</v>
      </c>
      <c r="AO109" t="str">
        <f>IFERROR(VLOOKUP(A109,Diccionario!$C$2:$E$65,3,FALSE),"no")</f>
        <v>Prestamos Personales</v>
      </c>
    </row>
    <row r="110" spans="1:41" x14ac:dyDescent="0.35">
      <c r="A110">
        <v>131731003</v>
      </c>
      <c r="B110">
        <v>80</v>
      </c>
      <c r="C110">
        <v>55367</v>
      </c>
      <c r="D110">
        <v>42979</v>
      </c>
      <c r="E110">
        <v>0</v>
      </c>
      <c r="F110" s="1">
        <v>46142</v>
      </c>
      <c r="G110" s="1">
        <v>46497</v>
      </c>
      <c r="H110" s="1">
        <v>46132</v>
      </c>
      <c r="I110">
        <v>360</v>
      </c>
      <c r="J110">
        <v>2</v>
      </c>
      <c r="K110" s="11">
        <v>73</v>
      </c>
      <c r="L110">
        <v>1</v>
      </c>
      <c r="M110">
        <v>2</v>
      </c>
      <c r="N110" t="s">
        <v>92</v>
      </c>
      <c r="O110" t="s">
        <v>93</v>
      </c>
      <c r="P110">
        <v>999</v>
      </c>
      <c r="Q110" s="1" t="s">
        <v>94</v>
      </c>
      <c r="R110" s="12">
        <v>46132</v>
      </c>
      <c r="S110" s="12">
        <v>800000</v>
      </c>
      <c r="T110" s="12">
        <v>-800000</v>
      </c>
      <c r="U110" s="12">
        <v>-579.25</v>
      </c>
      <c r="V110" s="12">
        <v>-800000</v>
      </c>
      <c r="W110" s="12">
        <v>-17600</v>
      </c>
      <c r="X110">
        <v>8176</v>
      </c>
      <c r="Y110" t="str">
        <f t="shared" si="2"/>
        <v>Sit.Normal</v>
      </c>
      <c r="Z110">
        <f t="shared" si="3"/>
        <v>1</v>
      </c>
      <c r="AB110">
        <f>VLOOKUP(A110,rubros_a_considerar!$A$2:$A$13,1,FALSE)</f>
        <v>131731003</v>
      </c>
      <c r="AO110" t="str">
        <f>IFERROR(VLOOKUP(A110,Diccionario!$C$2:$E$65,3,FALSE),"no")</f>
        <v>Prestamos Personales</v>
      </c>
    </row>
    <row r="111" spans="1:41" x14ac:dyDescent="0.35">
      <c r="A111">
        <v>131731003</v>
      </c>
      <c r="B111">
        <v>80</v>
      </c>
      <c r="C111">
        <v>55476</v>
      </c>
      <c r="D111">
        <v>42932</v>
      </c>
      <c r="E111">
        <v>0</v>
      </c>
      <c r="F111" s="1">
        <v>46142</v>
      </c>
      <c r="G111" s="1">
        <v>46399</v>
      </c>
      <c r="H111" s="1">
        <v>46034</v>
      </c>
      <c r="I111">
        <v>360</v>
      </c>
      <c r="J111">
        <v>2</v>
      </c>
      <c r="K111" s="11">
        <v>73</v>
      </c>
      <c r="L111">
        <v>1</v>
      </c>
      <c r="M111">
        <v>2</v>
      </c>
      <c r="N111" t="s">
        <v>92</v>
      </c>
      <c r="O111" t="s">
        <v>93</v>
      </c>
      <c r="P111">
        <v>999</v>
      </c>
      <c r="Q111" s="1" t="s">
        <v>94</v>
      </c>
      <c r="R111" s="12">
        <v>46034</v>
      </c>
      <c r="S111" s="12">
        <v>300000</v>
      </c>
      <c r="T111" s="12">
        <v>-263303.63</v>
      </c>
      <c r="U111" s="12">
        <v>-190.65</v>
      </c>
      <c r="V111" s="12">
        <v>-263303.63</v>
      </c>
      <c r="W111" s="12">
        <v>-25803.759999999998</v>
      </c>
      <c r="X111">
        <v>2891.07</v>
      </c>
      <c r="Y111" t="str">
        <f t="shared" si="2"/>
        <v>Sit.Normal</v>
      </c>
      <c r="Z111">
        <f t="shared" si="3"/>
        <v>1</v>
      </c>
      <c r="AB111">
        <f>VLOOKUP(A111,rubros_a_considerar!$A$2:$A$13,1,FALSE)</f>
        <v>131731003</v>
      </c>
      <c r="AO111" t="str">
        <f>IFERROR(VLOOKUP(A111,Diccionario!$C$2:$E$65,3,FALSE),"no")</f>
        <v>Prestamos Personales</v>
      </c>
    </row>
    <row r="112" spans="1:41" x14ac:dyDescent="0.35">
      <c r="A112">
        <v>131731003</v>
      </c>
      <c r="B112">
        <v>80</v>
      </c>
      <c r="C112">
        <v>56944</v>
      </c>
      <c r="D112">
        <v>42843</v>
      </c>
      <c r="E112">
        <v>0</v>
      </c>
      <c r="F112" s="1">
        <v>46142</v>
      </c>
      <c r="G112" s="1">
        <v>46211</v>
      </c>
      <c r="H112" s="1">
        <v>45846</v>
      </c>
      <c r="I112">
        <v>360</v>
      </c>
      <c r="J112">
        <v>2</v>
      </c>
      <c r="K112" s="11">
        <v>52</v>
      </c>
      <c r="L112">
        <v>1</v>
      </c>
      <c r="M112">
        <v>2</v>
      </c>
      <c r="N112" t="s">
        <v>92</v>
      </c>
      <c r="O112" t="s">
        <v>93</v>
      </c>
      <c r="P112">
        <v>999</v>
      </c>
      <c r="Q112" s="1" t="s">
        <v>94</v>
      </c>
      <c r="R112" s="12">
        <v>45846</v>
      </c>
      <c r="S112" s="12">
        <v>550000</v>
      </c>
      <c r="T112" s="12">
        <v>-164466.57</v>
      </c>
      <c r="U112" s="12">
        <v>-119.08</v>
      </c>
      <c r="V112" s="12">
        <v>-164466.57</v>
      </c>
      <c r="W112" s="12">
        <v>-5389.1</v>
      </c>
      <c r="X112">
        <v>1698.56</v>
      </c>
      <c r="Y112" t="str">
        <f t="shared" si="2"/>
        <v>Sit.Normal</v>
      </c>
      <c r="Z112">
        <f t="shared" si="3"/>
        <v>1</v>
      </c>
      <c r="AB112">
        <f>VLOOKUP(A112,rubros_a_considerar!$A$2:$A$13,1,FALSE)</f>
        <v>131731003</v>
      </c>
      <c r="AO112" t="str">
        <f>IFERROR(VLOOKUP(A112,Diccionario!$C$2:$E$65,3,FALSE),"no")</f>
        <v>Prestamos Personales</v>
      </c>
    </row>
    <row r="113" spans="1:41" x14ac:dyDescent="0.35">
      <c r="A113">
        <v>131731003</v>
      </c>
      <c r="B113">
        <v>80</v>
      </c>
      <c r="C113">
        <v>56956</v>
      </c>
      <c r="D113">
        <v>42856</v>
      </c>
      <c r="E113">
        <v>0</v>
      </c>
      <c r="F113" s="1">
        <v>46142</v>
      </c>
      <c r="G113" s="1">
        <v>46245</v>
      </c>
      <c r="H113" s="1">
        <v>45880</v>
      </c>
      <c r="I113">
        <v>360</v>
      </c>
      <c r="J113">
        <v>2</v>
      </c>
      <c r="K113" s="11">
        <v>60</v>
      </c>
      <c r="L113">
        <v>1</v>
      </c>
      <c r="M113">
        <v>2</v>
      </c>
      <c r="N113" t="s">
        <v>92</v>
      </c>
      <c r="O113" t="s">
        <v>93</v>
      </c>
      <c r="P113">
        <v>999</v>
      </c>
      <c r="Q113" s="1" t="s">
        <v>94</v>
      </c>
      <c r="R113" s="12">
        <v>45880</v>
      </c>
      <c r="S113" s="12">
        <v>500000</v>
      </c>
      <c r="T113" s="12">
        <v>-243663.42</v>
      </c>
      <c r="U113" s="12">
        <v>-176.43</v>
      </c>
      <c r="V113" s="12">
        <v>-243663.42</v>
      </c>
      <c r="W113" s="12">
        <v>-20027.12</v>
      </c>
      <c r="X113">
        <v>2636.91</v>
      </c>
      <c r="Y113" t="str">
        <f t="shared" si="2"/>
        <v>Sit.Normal</v>
      </c>
      <c r="Z113">
        <f t="shared" si="3"/>
        <v>1</v>
      </c>
      <c r="AB113">
        <f>VLOOKUP(A113,rubros_a_considerar!$A$2:$A$13,1,FALSE)</f>
        <v>131731003</v>
      </c>
      <c r="AO113" t="str">
        <f>IFERROR(VLOOKUP(A113,Diccionario!$C$2:$E$65,3,FALSE),"no")</f>
        <v>Prestamos Personales</v>
      </c>
    </row>
    <row r="114" spans="1:41" x14ac:dyDescent="0.35">
      <c r="A114">
        <v>131731003</v>
      </c>
      <c r="B114">
        <v>80</v>
      </c>
      <c r="C114">
        <v>57252</v>
      </c>
      <c r="D114">
        <v>42918</v>
      </c>
      <c r="E114">
        <v>0</v>
      </c>
      <c r="F114" s="1">
        <v>46142</v>
      </c>
      <c r="G114" s="1">
        <v>46385</v>
      </c>
      <c r="H114" s="1">
        <v>46020</v>
      </c>
      <c r="I114">
        <v>360</v>
      </c>
      <c r="J114">
        <v>2</v>
      </c>
      <c r="K114" s="11">
        <v>73</v>
      </c>
      <c r="L114">
        <v>1</v>
      </c>
      <c r="M114">
        <v>2</v>
      </c>
      <c r="N114" t="s">
        <v>92</v>
      </c>
      <c r="O114" t="s">
        <v>93</v>
      </c>
      <c r="P114">
        <v>999</v>
      </c>
      <c r="Q114" s="1" t="s">
        <v>94</v>
      </c>
      <c r="R114" s="12">
        <v>46020</v>
      </c>
      <c r="S114" s="12">
        <v>800000</v>
      </c>
      <c r="T114" s="12">
        <v>-592895.69999999995</v>
      </c>
      <c r="U114" s="12">
        <v>-429.29</v>
      </c>
      <c r="V114" s="12">
        <v>-592895.69999999995</v>
      </c>
      <c r="W114" s="12">
        <v>-2371.58</v>
      </c>
      <c r="X114">
        <v>5952.67</v>
      </c>
      <c r="Y114" t="str">
        <f t="shared" si="2"/>
        <v>Sit.Normal</v>
      </c>
      <c r="Z114">
        <f t="shared" si="3"/>
        <v>1</v>
      </c>
      <c r="AB114">
        <f>VLOOKUP(A114,rubros_a_considerar!$A$2:$A$13,1,FALSE)</f>
        <v>131731003</v>
      </c>
      <c r="AO114" t="str">
        <f>IFERROR(VLOOKUP(A114,Diccionario!$C$2:$E$65,3,FALSE),"no")</f>
        <v>Prestamos Personales</v>
      </c>
    </row>
    <row r="115" spans="1:41" x14ac:dyDescent="0.35">
      <c r="A115">
        <v>131731003</v>
      </c>
      <c r="B115">
        <v>80</v>
      </c>
      <c r="C115">
        <v>57332</v>
      </c>
      <c r="D115">
        <v>42861</v>
      </c>
      <c r="E115">
        <v>0</v>
      </c>
      <c r="F115" s="1">
        <v>46142</v>
      </c>
      <c r="G115" s="1">
        <v>46255</v>
      </c>
      <c r="H115" s="1">
        <v>45890</v>
      </c>
      <c r="I115">
        <v>360</v>
      </c>
      <c r="J115">
        <v>2</v>
      </c>
      <c r="K115" s="11">
        <v>52</v>
      </c>
      <c r="L115">
        <v>1</v>
      </c>
      <c r="M115">
        <v>2</v>
      </c>
      <c r="N115" t="s">
        <v>92</v>
      </c>
      <c r="O115" t="s">
        <v>93</v>
      </c>
      <c r="P115">
        <v>999</v>
      </c>
      <c r="Q115" s="1" t="s">
        <v>94</v>
      </c>
      <c r="R115" s="12">
        <v>45890</v>
      </c>
      <c r="S115" s="12">
        <v>800000</v>
      </c>
      <c r="T115" s="12">
        <v>-384036.09</v>
      </c>
      <c r="U115" s="12">
        <v>-278.07</v>
      </c>
      <c r="V115" s="12">
        <v>-384036.09</v>
      </c>
      <c r="W115" s="12">
        <v>-19773.400000000001</v>
      </c>
      <c r="X115">
        <v>4038.09</v>
      </c>
      <c r="Y115" t="str">
        <f t="shared" si="2"/>
        <v>Sit.Normal</v>
      </c>
      <c r="Z115">
        <f t="shared" si="3"/>
        <v>1</v>
      </c>
      <c r="AB115">
        <f>VLOOKUP(A115,rubros_a_considerar!$A$2:$A$13,1,FALSE)</f>
        <v>131731003</v>
      </c>
      <c r="AO115" t="str">
        <f>IFERROR(VLOOKUP(A115,Diccionario!$C$2:$E$65,3,FALSE),"no")</f>
        <v>Prestamos Personales</v>
      </c>
    </row>
    <row r="116" spans="1:41" x14ac:dyDescent="0.35">
      <c r="A116">
        <v>131731003</v>
      </c>
      <c r="B116">
        <v>80</v>
      </c>
      <c r="C116">
        <v>57497</v>
      </c>
      <c r="D116">
        <v>42937</v>
      </c>
      <c r="E116">
        <v>0</v>
      </c>
      <c r="F116" s="1">
        <v>46142</v>
      </c>
      <c r="G116" s="1">
        <v>46413</v>
      </c>
      <c r="H116" s="1">
        <v>46038</v>
      </c>
      <c r="I116">
        <v>370</v>
      </c>
      <c r="J116">
        <v>2</v>
      </c>
      <c r="K116" s="11">
        <v>73</v>
      </c>
      <c r="L116">
        <v>1</v>
      </c>
      <c r="M116">
        <v>2</v>
      </c>
      <c r="N116" t="s">
        <v>92</v>
      </c>
      <c r="O116" t="s">
        <v>93</v>
      </c>
      <c r="P116">
        <v>999</v>
      </c>
      <c r="Q116" s="1" t="s">
        <v>94</v>
      </c>
      <c r="R116" s="12">
        <v>46038</v>
      </c>
      <c r="S116" s="12">
        <v>800000</v>
      </c>
      <c r="T116" s="12">
        <v>-715391.02</v>
      </c>
      <c r="U116" s="12">
        <v>-517.99</v>
      </c>
      <c r="V116" s="12">
        <v>-715391.02</v>
      </c>
      <c r="W116" s="12">
        <v>-49653.760000000002</v>
      </c>
      <c r="X116">
        <v>7650.45</v>
      </c>
      <c r="Y116" t="str">
        <f t="shared" si="2"/>
        <v>Sit.Normal</v>
      </c>
      <c r="Z116">
        <f t="shared" si="3"/>
        <v>1</v>
      </c>
      <c r="AB116">
        <f>VLOOKUP(A116,rubros_a_considerar!$A$2:$A$13,1,FALSE)</f>
        <v>131731003</v>
      </c>
      <c r="AO116" t="str">
        <f>IFERROR(VLOOKUP(A116,Diccionario!$C$2:$E$65,3,FALSE),"no")</f>
        <v>Prestamos Personales</v>
      </c>
    </row>
    <row r="117" spans="1:41" x14ac:dyDescent="0.35">
      <c r="A117">
        <v>131731003</v>
      </c>
      <c r="B117">
        <v>80</v>
      </c>
      <c r="C117">
        <v>57649</v>
      </c>
      <c r="D117">
        <v>42906</v>
      </c>
      <c r="E117">
        <v>0</v>
      </c>
      <c r="F117" s="1">
        <v>46142</v>
      </c>
      <c r="G117" s="1">
        <v>46335</v>
      </c>
      <c r="H117" s="1">
        <v>45968</v>
      </c>
      <c r="I117">
        <v>362</v>
      </c>
      <c r="J117">
        <v>2</v>
      </c>
      <c r="K117" s="11">
        <v>73</v>
      </c>
      <c r="L117">
        <v>1</v>
      </c>
      <c r="M117">
        <v>2</v>
      </c>
      <c r="N117" t="s">
        <v>92</v>
      </c>
      <c r="O117" t="s">
        <v>93</v>
      </c>
      <c r="P117">
        <v>999</v>
      </c>
      <c r="Q117" s="1" t="s">
        <v>94</v>
      </c>
      <c r="R117" s="12">
        <v>45968</v>
      </c>
      <c r="S117" s="12">
        <v>300000</v>
      </c>
      <c r="T117" s="12">
        <v>-223242.27</v>
      </c>
      <c r="U117" s="12">
        <v>-161.63999999999999</v>
      </c>
      <c r="V117" s="12">
        <v>-223242.27</v>
      </c>
      <c r="W117" s="12">
        <v>-23217.200000000001</v>
      </c>
      <c r="X117">
        <v>2464.59</v>
      </c>
      <c r="Y117" t="str">
        <f t="shared" si="2"/>
        <v>Sit.Normal</v>
      </c>
      <c r="Z117">
        <f t="shared" si="3"/>
        <v>1</v>
      </c>
      <c r="AB117">
        <f>VLOOKUP(A117,rubros_a_considerar!$A$2:$A$13,1,FALSE)</f>
        <v>131731003</v>
      </c>
      <c r="AO117" t="str">
        <f>IFERROR(VLOOKUP(A117,Diccionario!$C$2:$E$65,3,FALSE),"no")</f>
        <v>Prestamos Personales</v>
      </c>
    </row>
    <row r="118" spans="1:41" x14ac:dyDescent="0.35">
      <c r="A118">
        <v>131731003</v>
      </c>
      <c r="B118">
        <v>80</v>
      </c>
      <c r="C118">
        <v>58139</v>
      </c>
      <c r="D118">
        <v>42954</v>
      </c>
      <c r="E118">
        <v>0</v>
      </c>
      <c r="F118" s="1">
        <v>46142</v>
      </c>
      <c r="G118" s="1">
        <v>46454</v>
      </c>
      <c r="H118" s="1">
        <v>46087</v>
      </c>
      <c r="I118">
        <v>362</v>
      </c>
      <c r="J118">
        <v>2</v>
      </c>
      <c r="K118" s="11">
        <v>73</v>
      </c>
      <c r="L118">
        <v>1</v>
      </c>
      <c r="M118">
        <v>2</v>
      </c>
      <c r="N118" t="s">
        <v>92</v>
      </c>
      <c r="O118" t="s">
        <v>93</v>
      </c>
      <c r="P118">
        <v>999</v>
      </c>
      <c r="Q118" s="1" t="s">
        <v>94</v>
      </c>
      <c r="R118" s="12">
        <v>46087</v>
      </c>
      <c r="S118" s="12">
        <v>800000</v>
      </c>
      <c r="T118" s="12">
        <v>-752447.08</v>
      </c>
      <c r="U118" s="12">
        <v>-544.82000000000005</v>
      </c>
      <c r="V118" s="12">
        <v>-752447.08</v>
      </c>
      <c r="W118" s="12">
        <v>-37622.35</v>
      </c>
      <c r="X118">
        <v>7900.69</v>
      </c>
      <c r="Y118" t="str">
        <f t="shared" si="2"/>
        <v>Sit.Normal</v>
      </c>
      <c r="Z118">
        <f t="shared" si="3"/>
        <v>1</v>
      </c>
      <c r="AB118">
        <f>VLOOKUP(A118,rubros_a_considerar!$A$2:$A$13,1,FALSE)</f>
        <v>131731003</v>
      </c>
      <c r="AO118" t="str">
        <f>IFERROR(VLOOKUP(A118,Diccionario!$C$2:$E$65,3,FALSE),"no")</f>
        <v>Prestamos Personales</v>
      </c>
    </row>
    <row r="119" spans="1:41" x14ac:dyDescent="0.35">
      <c r="A119">
        <v>171112001</v>
      </c>
      <c r="B119">
        <v>80</v>
      </c>
      <c r="C119">
        <v>58440</v>
      </c>
      <c r="D119">
        <v>42747</v>
      </c>
      <c r="E119">
        <v>0</v>
      </c>
      <c r="F119" s="1">
        <v>46142</v>
      </c>
      <c r="G119" s="1">
        <v>47140</v>
      </c>
      <c r="H119" s="1">
        <v>45677</v>
      </c>
      <c r="I119">
        <v>1463</v>
      </c>
      <c r="J119">
        <v>2</v>
      </c>
      <c r="K119" s="11">
        <v>34</v>
      </c>
      <c r="L119">
        <v>2</v>
      </c>
      <c r="M119">
        <v>2</v>
      </c>
      <c r="N119" t="s">
        <v>92</v>
      </c>
      <c r="O119" t="s">
        <v>93</v>
      </c>
      <c r="P119">
        <v>999</v>
      </c>
      <c r="Q119" s="1" t="s">
        <v>94</v>
      </c>
      <c r="R119" s="12">
        <v>45677</v>
      </c>
      <c r="S119" s="12">
        <v>5000000</v>
      </c>
      <c r="T119" s="12">
        <v>-4072781.68</v>
      </c>
      <c r="U119" s="12">
        <v>-2948.95</v>
      </c>
      <c r="V119" s="12">
        <v>-4072781.68</v>
      </c>
      <c r="W119" s="12">
        <v>-41732.06</v>
      </c>
      <c r="X119">
        <v>41145.14</v>
      </c>
      <c r="Y119" t="str">
        <f t="shared" si="2"/>
        <v>Sit.Normal</v>
      </c>
      <c r="Z119">
        <f t="shared" si="3"/>
        <v>1</v>
      </c>
      <c r="AB119">
        <f>VLOOKUP(A119,rubros_a_considerar!$A$2:$A$13,1,FALSE)</f>
        <v>171112001</v>
      </c>
      <c r="AO119" t="str">
        <f>IFERROR(VLOOKUP(A119,Diccionario!$C$2:$E$65,3,FALSE),"no")</f>
        <v>Prestamos Personales</v>
      </c>
    </row>
    <row r="120" spans="1:41" x14ac:dyDescent="0.35">
      <c r="A120">
        <v>171112001</v>
      </c>
      <c r="B120">
        <v>80</v>
      </c>
      <c r="C120">
        <v>58440</v>
      </c>
      <c r="D120">
        <v>42848</v>
      </c>
      <c r="E120">
        <v>0</v>
      </c>
      <c r="F120" s="1">
        <v>46142</v>
      </c>
      <c r="G120" s="1">
        <v>47336</v>
      </c>
      <c r="H120" s="1">
        <v>45873</v>
      </c>
      <c r="I120">
        <v>1463</v>
      </c>
      <c r="J120">
        <v>2</v>
      </c>
      <c r="K120" s="11">
        <v>34</v>
      </c>
      <c r="L120">
        <v>2</v>
      </c>
      <c r="M120">
        <v>2</v>
      </c>
      <c r="N120" t="s">
        <v>92</v>
      </c>
      <c r="O120" t="s">
        <v>93</v>
      </c>
      <c r="P120">
        <v>999</v>
      </c>
      <c r="Q120" s="1" t="s">
        <v>94</v>
      </c>
      <c r="R120" s="12">
        <v>45873</v>
      </c>
      <c r="S120" s="12">
        <v>5200000</v>
      </c>
      <c r="T120" s="12">
        <v>-4746031.45</v>
      </c>
      <c r="U120" s="12">
        <v>-3436.43</v>
      </c>
      <c r="V120" s="12">
        <v>-4746031.45</v>
      </c>
      <c r="W120" s="12">
        <v>-110524.02</v>
      </c>
      <c r="X120">
        <v>48565.55</v>
      </c>
      <c r="Y120" t="str">
        <f t="shared" si="2"/>
        <v>Sit.Normal</v>
      </c>
      <c r="Z120">
        <f t="shared" si="3"/>
        <v>1</v>
      </c>
      <c r="AB120">
        <f>VLOOKUP(A120,rubros_a_considerar!$A$2:$A$13,1,FALSE)</f>
        <v>171112001</v>
      </c>
      <c r="AO120" t="str">
        <f>IFERROR(VLOOKUP(A120,Diccionario!$C$2:$E$65,3,FALSE),"no")</f>
        <v>Prestamos Personales</v>
      </c>
    </row>
    <row r="121" spans="1:41" x14ac:dyDescent="0.35">
      <c r="A121">
        <v>171112001</v>
      </c>
      <c r="B121">
        <v>80</v>
      </c>
      <c r="C121">
        <v>59128</v>
      </c>
      <c r="D121">
        <v>42771</v>
      </c>
      <c r="E121">
        <v>0</v>
      </c>
      <c r="F121" s="1">
        <v>46142</v>
      </c>
      <c r="G121" s="1">
        <v>47175</v>
      </c>
      <c r="H121" s="1">
        <v>45712</v>
      </c>
      <c r="I121">
        <v>1463</v>
      </c>
      <c r="J121">
        <v>2</v>
      </c>
      <c r="K121" s="11">
        <v>34</v>
      </c>
      <c r="L121">
        <v>2</v>
      </c>
      <c r="M121">
        <v>2</v>
      </c>
      <c r="N121" t="s">
        <v>92</v>
      </c>
      <c r="O121" t="s">
        <v>93</v>
      </c>
      <c r="P121">
        <v>999</v>
      </c>
      <c r="Q121" s="1" t="s">
        <v>94</v>
      </c>
      <c r="R121" s="12">
        <v>45712</v>
      </c>
      <c r="S121" s="12">
        <v>10000000</v>
      </c>
      <c r="T121" s="12">
        <v>-8311900.2699999996</v>
      </c>
      <c r="U121" s="12">
        <v>-6018.34</v>
      </c>
      <c r="V121" s="12">
        <v>-8311900.2699999996</v>
      </c>
      <c r="W121" s="12">
        <v>-30970.36</v>
      </c>
      <c r="X121">
        <v>83428.710000000006</v>
      </c>
      <c r="Y121" t="str">
        <f t="shared" si="2"/>
        <v>Sit.Normal</v>
      </c>
      <c r="Z121">
        <f t="shared" si="3"/>
        <v>1</v>
      </c>
      <c r="AB121">
        <f>VLOOKUP(A121,rubros_a_considerar!$A$2:$A$13,1,FALSE)</f>
        <v>171112001</v>
      </c>
      <c r="AO121" t="str">
        <f>IFERROR(VLOOKUP(A121,Diccionario!$C$2:$E$65,3,FALSE),"no")</f>
        <v>Prestamos Personales</v>
      </c>
    </row>
    <row r="122" spans="1:41" x14ac:dyDescent="0.35">
      <c r="A122">
        <v>131731003</v>
      </c>
      <c r="B122">
        <v>80</v>
      </c>
      <c r="C122">
        <v>59343</v>
      </c>
      <c r="D122">
        <v>42886</v>
      </c>
      <c r="E122">
        <v>0</v>
      </c>
      <c r="F122" s="1">
        <v>46142</v>
      </c>
      <c r="G122" s="1">
        <v>46301</v>
      </c>
      <c r="H122" s="1">
        <v>45936</v>
      </c>
      <c r="I122">
        <v>360</v>
      </c>
      <c r="J122">
        <v>2</v>
      </c>
      <c r="K122" s="11">
        <v>73</v>
      </c>
      <c r="L122">
        <v>1</v>
      </c>
      <c r="M122">
        <v>2</v>
      </c>
      <c r="N122" t="s">
        <v>92</v>
      </c>
      <c r="O122" t="s">
        <v>93</v>
      </c>
      <c r="P122">
        <v>999</v>
      </c>
      <c r="Q122" s="1" t="s">
        <v>94</v>
      </c>
      <c r="R122" s="12">
        <v>45936</v>
      </c>
      <c r="S122" s="12">
        <v>275000</v>
      </c>
      <c r="T122" s="12">
        <v>-161429.59</v>
      </c>
      <c r="U122" s="12">
        <v>-116.89</v>
      </c>
      <c r="V122" s="12">
        <v>-161429.59</v>
      </c>
      <c r="W122" s="12">
        <v>-8071.48</v>
      </c>
      <c r="X122">
        <v>1695.01</v>
      </c>
      <c r="Y122" t="str">
        <f t="shared" si="2"/>
        <v>Sit.Normal</v>
      </c>
      <c r="Z122">
        <f t="shared" si="3"/>
        <v>1</v>
      </c>
      <c r="AB122">
        <f>VLOOKUP(A122,rubros_a_considerar!$A$2:$A$13,1,FALSE)</f>
        <v>131731003</v>
      </c>
      <c r="AO122" t="str">
        <f>IFERROR(VLOOKUP(A122,Diccionario!$C$2:$E$65,3,FALSE),"no")</f>
        <v>Prestamos Personales</v>
      </c>
    </row>
    <row r="123" spans="1:41" x14ac:dyDescent="0.35">
      <c r="A123">
        <v>131731003</v>
      </c>
      <c r="B123">
        <v>80</v>
      </c>
      <c r="C123">
        <v>59352</v>
      </c>
      <c r="D123">
        <v>42972</v>
      </c>
      <c r="E123">
        <v>0</v>
      </c>
      <c r="F123" s="1">
        <v>46142</v>
      </c>
      <c r="G123" s="1">
        <v>46486</v>
      </c>
      <c r="H123" s="1">
        <v>46121</v>
      </c>
      <c r="I123">
        <v>360</v>
      </c>
      <c r="J123">
        <v>2</v>
      </c>
      <c r="K123" s="11">
        <v>73</v>
      </c>
      <c r="L123">
        <v>1</v>
      </c>
      <c r="M123">
        <v>2</v>
      </c>
      <c r="N123" t="s">
        <v>92</v>
      </c>
      <c r="O123" t="s">
        <v>93</v>
      </c>
      <c r="P123">
        <v>999</v>
      </c>
      <c r="Q123" s="1" t="s">
        <v>94</v>
      </c>
      <c r="R123" s="12">
        <v>46121</v>
      </c>
      <c r="S123" s="12">
        <v>800000</v>
      </c>
      <c r="T123" s="12">
        <v>-800000</v>
      </c>
      <c r="U123" s="12">
        <v>-579.25</v>
      </c>
      <c r="V123" s="12">
        <v>-800000</v>
      </c>
      <c r="W123" s="12">
        <v>-35200</v>
      </c>
      <c r="X123">
        <v>8352</v>
      </c>
      <c r="Y123" t="str">
        <f t="shared" si="2"/>
        <v>Sit.Normal</v>
      </c>
      <c r="Z123">
        <f t="shared" si="3"/>
        <v>1</v>
      </c>
      <c r="AB123">
        <f>VLOOKUP(A123,rubros_a_considerar!$A$2:$A$13,1,FALSE)</f>
        <v>131731003</v>
      </c>
      <c r="AO123" t="str">
        <f>IFERROR(VLOOKUP(A123,Diccionario!$C$2:$E$65,3,FALSE),"no")</f>
        <v>Prestamos Personales</v>
      </c>
    </row>
    <row r="124" spans="1:41" x14ac:dyDescent="0.35">
      <c r="A124">
        <v>131731003</v>
      </c>
      <c r="B124">
        <v>80</v>
      </c>
      <c r="C124">
        <v>59399</v>
      </c>
      <c r="D124">
        <v>42912</v>
      </c>
      <c r="E124">
        <v>0</v>
      </c>
      <c r="F124" s="1">
        <v>46142</v>
      </c>
      <c r="G124" s="1">
        <v>46363</v>
      </c>
      <c r="H124" s="1">
        <v>45996</v>
      </c>
      <c r="I124">
        <v>362</v>
      </c>
      <c r="J124">
        <v>2</v>
      </c>
      <c r="K124" s="11">
        <v>73</v>
      </c>
      <c r="L124">
        <v>1</v>
      </c>
      <c r="M124">
        <v>2</v>
      </c>
      <c r="N124" t="s">
        <v>92</v>
      </c>
      <c r="O124" t="s">
        <v>93</v>
      </c>
      <c r="P124">
        <v>999</v>
      </c>
      <c r="Q124" s="1" t="s">
        <v>94</v>
      </c>
      <c r="R124" s="12">
        <v>45996</v>
      </c>
      <c r="S124" s="12">
        <v>800000</v>
      </c>
      <c r="T124" s="12">
        <v>-593507.93999999994</v>
      </c>
      <c r="U124" s="12">
        <v>-429.74</v>
      </c>
      <c r="V124" s="12">
        <v>-593507.93999999994</v>
      </c>
      <c r="W124" s="12">
        <v>-29675.4</v>
      </c>
      <c r="X124">
        <v>6231.83</v>
      </c>
      <c r="Y124" t="str">
        <f t="shared" si="2"/>
        <v>Sit.Normal</v>
      </c>
      <c r="Z124">
        <f t="shared" si="3"/>
        <v>1</v>
      </c>
      <c r="AB124">
        <f>VLOOKUP(A124,rubros_a_considerar!$A$2:$A$13,1,FALSE)</f>
        <v>131731003</v>
      </c>
      <c r="AO124" t="str">
        <f>IFERROR(VLOOKUP(A124,Diccionario!$C$2:$E$65,3,FALSE),"no")</f>
        <v>Prestamos Personales</v>
      </c>
    </row>
    <row r="125" spans="1:41" x14ac:dyDescent="0.35">
      <c r="A125">
        <v>131731003</v>
      </c>
      <c r="B125">
        <v>80</v>
      </c>
      <c r="C125">
        <v>59466</v>
      </c>
      <c r="D125">
        <v>42914</v>
      </c>
      <c r="E125">
        <v>0</v>
      </c>
      <c r="F125" s="1">
        <v>46142</v>
      </c>
      <c r="G125" s="1">
        <v>46363</v>
      </c>
      <c r="H125" s="1">
        <v>45996</v>
      </c>
      <c r="I125">
        <v>362</v>
      </c>
      <c r="J125">
        <v>2</v>
      </c>
      <c r="K125" s="11">
        <v>73</v>
      </c>
      <c r="L125">
        <v>1</v>
      </c>
      <c r="M125">
        <v>2</v>
      </c>
      <c r="N125" t="s">
        <v>92</v>
      </c>
      <c r="O125" t="s">
        <v>93</v>
      </c>
      <c r="P125">
        <v>999</v>
      </c>
      <c r="Q125" s="1" t="s">
        <v>94</v>
      </c>
      <c r="R125" s="12">
        <v>45996</v>
      </c>
      <c r="S125" s="12">
        <v>800000</v>
      </c>
      <c r="T125" s="12">
        <v>-593507.93999999994</v>
      </c>
      <c r="U125" s="12">
        <v>-429.74</v>
      </c>
      <c r="V125" s="12">
        <v>-593507.93999999994</v>
      </c>
      <c r="W125" s="12">
        <v>-29675.4</v>
      </c>
      <c r="X125">
        <v>6231.83</v>
      </c>
      <c r="Y125" t="str">
        <f t="shared" si="2"/>
        <v>Sit.Normal</v>
      </c>
      <c r="Z125">
        <f t="shared" si="3"/>
        <v>1</v>
      </c>
      <c r="AB125">
        <f>VLOOKUP(A125,rubros_a_considerar!$A$2:$A$13,1,FALSE)</f>
        <v>131731003</v>
      </c>
      <c r="AO125" t="str">
        <f>IFERROR(VLOOKUP(A125,Diccionario!$C$2:$E$65,3,FALSE),"no")</f>
        <v>Prestamos Personales</v>
      </c>
    </row>
    <row r="126" spans="1:41" x14ac:dyDescent="0.35">
      <c r="A126">
        <v>171112001</v>
      </c>
      <c r="B126">
        <v>80</v>
      </c>
      <c r="C126">
        <v>59558</v>
      </c>
      <c r="D126">
        <v>42823</v>
      </c>
      <c r="E126">
        <v>0</v>
      </c>
      <c r="F126" s="1">
        <v>46142</v>
      </c>
      <c r="G126" s="1">
        <v>46184</v>
      </c>
      <c r="H126" s="1">
        <v>45819</v>
      </c>
      <c r="I126">
        <v>365</v>
      </c>
      <c r="J126">
        <v>2</v>
      </c>
      <c r="K126" s="11">
        <v>46</v>
      </c>
      <c r="L126">
        <v>2</v>
      </c>
      <c r="M126">
        <v>2</v>
      </c>
      <c r="N126" t="s">
        <v>92</v>
      </c>
      <c r="O126" t="s">
        <v>93</v>
      </c>
      <c r="P126">
        <v>999</v>
      </c>
      <c r="Q126" s="1" t="s">
        <v>94</v>
      </c>
      <c r="R126" s="12">
        <v>45819</v>
      </c>
      <c r="S126" s="12">
        <v>1500000</v>
      </c>
      <c r="T126" s="12">
        <v>-286913.68</v>
      </c>
      <c r="U126" s="12">
        <v>-207.74</v>
      </c>
      <c r="V126" s="12">
        <v>-286913.68</v>
      </c>
      <c r="W126" s="12">
        <v>-4810.72</v>
      </c>
      <c r="X126">
        <v>2917.24</v>
      </c>
      <c r="Y126" t="str">
        <f t="shared" si="2"/>
        <v>Sit.Normal</v>
      </c>
      <c r="Z126">
        <f t="shared" si="3"/>
        <v>1</v>
      </c>
      <c r="AB126">
        <f>VLOOKUP(A126,rubros_a_considerar!$A$2:$A$13,1,FALSE)</f>
        <v>171112001</v>
      </c>
      <c r="AO126" t="str">
        <f>IFERROR(VLOOKUP(A126,Diccionario!$C$2:$E$65,3,FALSE),"no")</f>
        <v>Prestamos Personales</v>
      </c>
    </row>
    <row r="127" spans="1:41" x14ac:dyDescent="0.35">
      <c r="A127">
        <v>131731003</v>
      </c>
      <c r="B127">
        <v>80</v>
      </c>
      <c r="C127">
        <v>60068</v>
      </c>
      <c r="D127">
        <v>42907</v>
      </c>
      <c r="E127">
        <v>0</v>
      </c>
      <c r="F127" s="1">
        <v>46142</v>
      </c>
      <c r="G127" s="1">
        <v>46336</v>
      </c>
      <c r="H127" s="1">
        <v>45971</v>
      </c>
      <c r="I127">
        <v>360</v>
      </c>
      <c r="J127">
        <v>2</v>
      </c>
      <c r="K127" s="11">
        <v>73</v>
      </c>
      <c r="L127">
        <v>1</v>
      </c>
      <c r="M127">
        <v>2</v>
      </c>
      <c r="N127" t="s">
        <v>92</v>
      </c>
      <c r="O127" t="s">
        <v>93</v>
      </c>
      <c r="P127">
        <v>999</v>
      </c>
      <c r="Q127" s="1" t="s">
        <v>94</v>
      </c>
      <c r="R127" s="12">
        <v>45971</v>
      </c>
      <c r="S127" s="12">
        <v>600000</v>
      </c>
      <c r="T127" s="12">
        <v>-399506.68</v>
      </c>
      <c r="U127" s="12">
        <v>-289.27</v>
      </c>
      <c r="V127" s="12">
        <v>-399506.68</v>
      </c>
      <c r="W127" s="12">
        <v>-16779.28</v>
      </c>
      <c r="X127">
        <v>4162.8599999999997</v>
      </c>
      <c r="Y127" t="str">
        <f t="shared" si="2"/>
        <v>Sit.Normal</v>
      </c>
      <c r="Z127">
        <f t="shared" si="3"/>
        <v>1</v>
      </c>
      <c r="AB127">
        <f>VLOOKUP(A127,rubros_a_considerar!$A$2:$A$13,1,FALSE)</f>
        <v>131731003</v>
      </c>
      <c r="AO127" t="str">
        <f>IFERROR(VLOOKUP(A127,Diccionario!$C$2:$E$65,3,FALSE),"no")</f>
        <v>Prestamos Personales</v>
      </c>
    </row>
    <row r="128" spans="1:41" x14ac:dyDescent="0.35">
      <c r="A128">
        <v>131731003</v>
      </c>
      <c r="B128">
        <v>80</v>
      </c>
      <c r="C128">
        <v>82510</v>
      </c>
      <c r="D128">
        <v>42796</v>
      </c>
      <c r="E128">
        <v>0</v>
      </c>
      <c r="F128" s="1">
        <v>46142</v>
      </c>
      <c r="G128" s="1">
        <v>46147</v>
      </c>
      <c r="H128" s="1">
        <v>45782</v>
      </c>
      <c r="I128">
        <v>360</v>
      </c>
      <c r="J128">
        <v>2</v>
      </c>
      <c r="K128" s="11">
        <v>52</v>
      </c>
      <c r="L128">
        <v>1</v>
      </c>
      <c r="M128">
        <v>2</v>
      </c>
      <c r="N128" t="s">
        <v>92</v>
      </c>
      <c r="O128" t="s">
        <v>93</v>
      </c>
      <c r="P128">
        <v>999</v>
      </c>
      <c r="Q128" s="1" t="s">
        <v>94</v>
      </c>
      <c r="R128" s="12">
        <v>45782</v>
      </c>
      <c r="S128" s="12">
        <v>200000</v>
      </c>
      <c r="T128" s="12">
        <v>-20801.48</v>
      </c>
      <c r="U128" s="12">
        <v>-15.06</v>
      </c>
      <c r="V128" s="12">
        <v>-20801.48</v>
      </c>
      <c r="W128" s="12">
        <v>-740.87</v>
      </c>
      <c r="X128">
        <v>215.42</v>
      </c>
      <c r="Y128" t="str">
        <f t="shared" si="2"/>
        <v>Sit.Normal</v>
      </c>
      <c r="Z128">
        <f t="shared" si="3"/>
        <v>1</v>
      </c>
      <c r="AB128">
        <f>VLOOKUP(A128,rubros_a_considerar!$A$2:$A$13,1,FALSE)</f>
        <v>131731003</v>
      </c>
      <c r="AO128" t="str">
        <f>IFERROR(VLOOKUP(A128,Diccionario!$C$2:$E$65,3,FALSE),"no")</f>
        <v>Prestamos Personales</v>
      </c>
    </row>
    <row r="129" spans="1:41" x14ac:dyDescent="0.35">
      <c r="A129">
        <v>131731003</v>
      </c>
      <c r="B129">
        <v>80</v>
      </c>
      <c r="C129">
        <v>82822</v>
      </c>
      <c r="D129">
        <v>42950</v>
      </c>
      <c r="E129">
        <v>0</v>
      </c>
      <c r="F129" s="1">
        <v>46142</v>
      </c>
      <c r="G129" s="1">
        <v>46436</v>
      </c>
      <c r="H129" s="1">
        <v>46071</v>
      </c>
      <c r="I129">
        <v>360</v>
      </c>
      <c r="J129">
        <v>2</v>
      </c>
      <c r="K129" s="11">
        <v>73</v>
      </c>
      <c r="L129">
        <v>1</v>
      </c>
      <c r="M129">
        <v>2</v>
      </c>
      <c r="N129" t="s">
        <v>92</v>
      </c>
      <c r="O129" t="s">
        <v>93</v>
      </c>
      <c r="P129">
        <v>999</v>
      </c>
      <c r="Q129" s="1" t="s">
        <v>94</v>
      </c>
      <c r="R129" s="12">
        <v>46071</v>
      </c>
      <c r="S129" s="12">
        <v>200000</v>
      </c>
      <c r="T129" s="12">
        <v>-176288.27</v>
      </c>
      <c r="U129" s="12">
        <v>-127.64</v>
      </c>
      <c r="V129" s="12">
        <v>-176288.27</v>
      </c>
      <c r="W129" s="12">
        <v>-3878.34</v>
      </c>
      <c r="X129">
        <v>1801.67</v>
      </c>
      <c r="Y129" t="str">
        <f t="shared" si="2"/>
        <v>Sit.Normal</v>
      </c>
      <c r="Z129">
        <f t="shared" si="3"/>
        <v>1</v>
      </c>
      <c r="AB129">
        <f>VLOOKUP(A129,rubros_a_considerar!$A$2:$A$13,1,FALSE)</f>
        <v>131731003</v>
      </c>
      <c r="AO129" t="str">
        <f>IFERROR(VLOOKUP(A129,Diccionario!$C$2:$E$65,3,FALSE),"no")</f>
        <v>Prestamos Personales</v>
      </c>
    </row>
    <row r="130" spans="1:41" x14ac:dyDescent="0.35">
      <c r="A130">
        <v>131731003</v>
      </c>
      <c r="B130">
        <v>80</v>
      </c>
      <c r="C130">
        <v>83000</v>
      </c>
      <c r="D130">
        <v>42945</v>
      </c>
      <c r="E130">
        <v>0</v>
      </c>
      <c r="F130" s="1">
        <v>46142</v>
      </c>
      <c r="G130" s="1">
        <v>46428</v>
      </c>
      <c r="H130" s="1">
        <v>46063</v>
      </c>
      <c r="I130">
        <v>360</v>
      </c>
      <c r="J130">
        <v>2</v>
      </c>
      <c r="K130" s="11">
        <v>73</v>
      </c>
      <c r="L130">
        <v>1</v>
      </c>
      <c r="M130">
        <v>2</v>
      </c>
      <c r="N130" t="s">
        <v>92</v>
      </c>
      <c r="O130" t="s">
        <v>93</v>
      </c>
      <c r="P130">
        <v>999</v>
      </c>
      <c r="Q130" s="1" t="s">
        <v>94</v>
      </c>
      <c r="R130" s="12">
        <v>46063</v>
      </c>
      <c r="S130" s="12">
        <v>700000</v>
      </c>
      <c r="T130" s="12">
        <v>-614315.37</v>
      </c>
      <c r="U130" s="12">
        <v>-444.8</v>
      </c>
      <c r="V130" s="12">
        <v>-614315.37</v>
      </c>
      <c r="W130" s="12">
        <v>-25801.25</v>
      </c>
      <c r="X130">
        <v>6401.17</v>
      </c>
      <c r="Y130" t="str">
        <f t="shared" ref="Y130:Y193" si="4">TRIM(O130)</f>
        <v>Sit.Normal</v>
      </c>
      <c r="Z130">
        <f t="shared" ref="Z130:Z193" si="5">IF(Y130="Sit.Normal",1,IF(Y130="Riesgo potencia",2,IF(Y130="Con Problemas",3,IF(Y130="Alto Riesgo",4,IF(Y130="Irrecuperable",5,IF(Y130="Irrec Disp Tecn",6,IF(Y130="Sin identificación",0,"")))))))</f>
        <v>1</v>
      </c>
      <c r="AB130">
        <f>VLOOKUP(A130,rubros_a_considerar!$A$2:$A$13,1,FALSE)</f>
        <v>131731003</v>
      </c>
      <c r="AO130" t="str">
        <f>IFERROR(VLOOKUP(A130,Diccionario!$C$2:$E$65,3,FALSE),"no")</f>
        <v>Prestamos Personales</v>
      </c>
    </row>
    <row r="131" spans="1:41" x14ac:dyDescent="0.35">
      <c r="A131">
        <v>131731003</v>
      </c>
      <c r="B131">
        <v>80</v>
      </c>
      <c r="C131">
        <v>83381</v>
      </c>
      <c r="D131">
        <v>42930</v>
      </c>
      <c r="E131">
        <v>0</v>
      </c>
      <c r="F131" s="1">
        <v>46142</v>
      </c>
      <c r="G131" s="1">
        <v>46399</v>
      </c>
      <c r="H131" s="1">
        <v>46034</v>
      </c>
      <c r="I131">
        <v>360</v>
      </c>
      <c r="J131">
        <v>2</v>
      </c>
      <c r="K131" s="11">
        <v>73</v>
      </c>
      <c r="L131">
        <v>1</v>
      </c>
      <c r="M131">
        <v>2</v>
      </c>
      <c r="N131" t="s">
        <v>92</v>
      </c>
      <c r="O131" t="s">
        <v>93</v>
      </c>
      <c r="P131">
        <v>999</v>
      </c>
      <c r="Q131" s="1" t="s">
        <v>94</v>
      </c>
      <c r="R131" s="12">
        <v>46034</v>
      </c>
      <c r="S131" s="12">
        <v>320000</v>
      </c>
      <c r="T131" s="12">
        <v>-280857.21999999997</v>
      </c>
      <c r="U131" s="12">
        <v>-203.36</v>
      </c>
      <c r="V131" s="12">
        <v>-280857.21999999997</v>
      </c>
      <c r="W131" s="12">
        <v>-27524.01</v>
      </c>
      <c r="X131">
        <v>3083.81</v>
      </c>
      <c r="Y131" t="str">
        <f t="shared" si="4"/>
        <v>Sit.Normal</v>
      </c>
      <c r="Z131">
        <f t="shared" si="5"/>
        <v>1</v>
      </c>
      <c r="AB131">
        <f>VLOOKUP(A131,rubros_a_considerar!$A$2:$A$13,1,FALSE)</f>
        <v>131731003</v>
      </c>
      <c r="AO131" t="str">
        <f>IFERROR(VLOOKUP(A131,Diccionario!$C$2:$E$65,3,FALSE),"no")</f>
        <v>Prestamos Personales</v>
      </c>
    </row>
    <row r="132" spans="1:41" x14ac:dyDescent="0.35">
      <c r="A132">
        <v>171112001</v>
      </c>
      <c r="B132">
        <v>80</v>
      </c>
      <c r="C132">
        <v>83452</v>
      </c>
      <c r="D132">
        <v>42967</v>
      </c>
      <c r="E132">
        <v>0</v>
      </c>
      <c r="F132" s="1">
        <v>46142</v>
      </c>
      <c r="G132" s="1">
        <v>46842</v>
      </c>
      <c r="H132" s="1">
        <v>46101</v>
      </c>
      <c r="I132">
        <v>730</v>
      </c>
      <c r="J132">
        <v>2</v>
      </c>
      <c r="K132" s="11">
        <v>46</v>
      </c>
      <c r="L132">
        <v>1</v>
      </c>
      <c r="M132">
        <v>2</v>
      </c>
      <c r="N132" t="s">
        <v>92</v>
      </c>
      <c r="O132" t="s">
        <v>93</v>
      </c>
      <c r="P132">
        <v>999</v>
      </c>
      <c r="Q132" s="1" t="s">
        <v>94</v>
      </c>
      <c r="R132" s="12">
        <v>46101</v>
      </c>
      <c r="S132" s="12">
        <v>10000000</v>
      </c>
      <c r="T132" s="12">
        <v>-9901283.9900000002</v>
      </c>
      <c r="U132" s="12">
        <v>-7169.15</v>
      </c>
      <c r="V132" s="12">
        <v>-9901283.9900000002</v>
      </c>
      <c r="W132" s="12">
        <v>-14919.74</v>
      </c>
      <c r="X132">
        <v>99162.04</v>
      </c>
      <c r="Y132" t="str">
        <f t="shared" si="4"/>
        <v>Sit.Normal</v>
      </c>
      <c r="Z132">
        <f t="shared" si="5"/>
        <v>1</v>
      </c>
      <c r="AB132">
        <f>VLOOKUP(A132,rubros_a_considerar!$A$2:$A$13,1,FALSE)</f>
        <v>171112001</v>
      </c>
      <c r="AO132" t="str">
        <f>IFERROR(VLOOKUP(A132,Diccionario!$C$2:$E$65,3,FALSE),"no")</f>
        <v>Prestamos Personales</v>
      </c>
    </row>
    <row r="133" spans="1:41" x14ac:dyDescent="0.35">
      <c r="A133">
        <v>171112001</v>
      </c>
      <c r="B133">
        <v>80</v>
      </c>
      <c r="C133">
        <v>83994</v>
      </c>
      <c r="D133">
        <v>42671</v>
      </c>
      <c r="E133">
        <v>0</v>
      </c>
      <c r="F133" s="1">
        <v>46142</v>
      </c>
      <c r="G133" s="1">
        <v>46226</v>
      </c>
      <c r="H133" s="1">
        <v>45496</v>
      </c>
      <c r="I133">
        <v>730</v>
      </c>
      <c r="J133">
        <v>2</v>
      </c>
      <c r="K133" s="11">
        <v>46</v>
      </c>
      <c r="L133">
        <v>2</v>
      </c>
      <c r="M133">
        <v>2</v>
      </c>
      <c r="N133" t="s">
        <v>92</v>
      </c>
      <c r="O133" t="s">
        <v>93</v>
      </c>
      <c r="P133">
        <v>999</v>
      </c>
      <c r="Q133" s="1" t="s">
        <v>94</v>
      </c>
      <c r="R133" s="12">
        <v>45496</v>
      </c>
      <c r="S133" s="12">
        <v>1500000</v>
      </c>
      <c r="T133" s="12">
        <v>-246979.72</v>
      </c>
      <c r="U133" s="12">
        <v>-178.83</v>
      </c>
      <c r="V133" s="12">
        <v>-246979.72</v>
      </c>
      <c r="W133" s="12">
        <v>-1840.51</v>
      </c>
      <c r="X133">
        <v>2488.1999999999998</v>
      </c>
      <c r="Y133" t="str">
        <f t="shared" si="4"/>
        <v>Sit.Normal</v>
      </c>
      <c r="Z133">
        <f t="shared" si="5"/>
        <v>1</v>
      </c>
      <c r="AB133">
        <f>VLOOKUP(A133,rubros_a_considerar!$A$2:$A$13,1,FALSE)</f>
        <v>171112001</v>
      </c>
      <c r="AO133" t="str">
        <f>IFERROR(VLOOKUP(A133,Diccionario!$C$2:$E$65,3,FALSE),"no")</f>
        <v>Prestamos Personales</v>
      </c>
    </row>
    <row r="134" spans="1:41" x14ac:dyDescent="0.35">
      <c r="A134">
        <v>171112001</v>
      </c>
      <c r="B134">
        <v>80</v>
      </c>
      <c r="C134">
        <v>83994</v>
      </c>
      <c r="D134">
        <v>42876</v>
      </c>
      <c r="E134">
        <v>0</v>
      </c>
      <c r="F134" s="1">
        <v>46142</v>
      </c>
      <c r="G134" s="1">
        <v>46273</v>
      </c>
      <c r="H134" s="1">
        <v>45908</v>
      </c>
      <c r="I134">
        <v>365</v>
      </c>
      <c r="J134">
        <v>2</v>
      </c>
      <c r="K134" s="11">
        <v>46</v>
      </c>
      <c r="L134">
        <v>2</v>
      </c>
      <c r="M134">
        <v>2</v>
      </c>
      <c r="N134" t="s">
        <v>92</v>
      </c>
      <c r="O134" t="s">
        <v>93</v>
      </c>
      <c r="P134">
        <v>999</v>
      </c>
      <c r="Q134" s="1" t="s">
        <v>94</v>
      </c>
      <c r="R134" s="12">
        <v>45908</v>
      </c>
      <c r="S134" s="12">
        <v>1000000</v>
      </c>
      <c r="T134" s="12">
        <v>-482380.09</v>
      </c>
      <c r="U134" s="12">
        <v>-349.27</v>
      </c>
      <c r="V134" s="12">
        <v>-482380.09</v>
      </c>
      <c r="W134" s="12">
        <v>-16718.099999999999</v>
      </c>
      <c r="X134">
        <v>4990.9799999999996</v>
      </c>
      <c r="Y134" t="str">
        <f t="shared" si="4"/>
        <v>Sit.Normal</v>
      </c>
      <c r="Z134">
        <f t="shared" si="5"/>
        <v>1</v>
      </c>
      <c r="AB134">
        <f>VLOOKUP(A134,rubros_a_considerar!$A$2:$A$13,1,FALSE)</f>
        <v>171112001</v>
      </c>
      <c r="AO134" t="str">
        <f>IFERROR(VLOOKUP(A134,Diccionario!$C$2:$E$65,3,FALSE),"no")</f>
        <v>Prestamos Personales</v>
      </c>
    </row>
    <row r="135" spans="1:41" x14ac:dyDescent="0.35">
      <c r="A135">
        <v>171112001</v>
      </c>
      <c r="B135">
        <v>80</v>
      </c>
      <c r="C135">
        <v>83994</v>
      </c>
      <c r="D135">
        <v>42686</v>
      </c>
      <c r="E135">
        <v>0</v>
      </c>
      <c r="F135" s="1">
        <v>46142</v>
      </c>
      <c r="G135" s="1">
        <v>46279</v>
      </c>
      <c r="H135" s="1">
        <v>45547</v>
      </c>
      <c r="I135">
        <v>732</v>
      </c>
      <c r="J135">
        <v>2</v>
      </c>
      <c r="K135" s="11">
        <v>46</v>
      </c>
      <c r="L135">
        <v>2</v>
      </c>
      <c r="M135">
        <v>2</v>
      </c>
      <c r="N135" t="s">
        <v>92</v>
      </c>
      <c r="O135" t="s">
        <v>93</v>
      </c>
      <c r="P135">
        <v>999</v>
      </c>
      <c r="Q135" s="1" t="s">
        <v>94</v>
      </c>
      <c r="R135" s="12">
        <v>45547</v>
      </c>
      <c r="S135" s="12">
        <v>2000000</v>
      </c>
      <c r="T135" s="12">
        <v>-533885.99</v>
      </c>
      <c r="U135" s="12">
        <v>-386.57</v>
      </c>
      <c r="V135" s="12">
        <v>-533885.99</v>
      </c>
      <c r="W135" s="12">
        <v>-8951.73</v>
      </c>
      <c r="X135">
        <v>5428.38</v>
      </c>
      <c r="Y135" t="str">
        <f t="shared" si="4"/>
        <v>Sit.Normal</v>
      </c>
      <c r="Z135">
        <f t="shared" si="5"/>
        <v>1</v>
      </c>
      <c r="AB135">
        <f>VLOOKUP(A135,rubros_a_considerar!$A$2:$A$13,1,FALSE)</f>
        <v>171112001</v>
      </c>
      <c r="AO135" t="str">
        <f>IFERROR(VLOOKUP(A135,Diccionario!$C$2:$E$65,3,FALSE),"no")</f>
        <v>Prestamos Personales</v>
      </c>
    </row>
    <row r="136" spans="1:41" x14ac:dyDescent="0.35">
      <c r="A136">
        <v>131731003</v>
      </c>
      <c r="B136">
        <v>80</v>
      </c>
      <c r="C136">
        <v>84235</v>
      </c>
      <c r="D136">
        <v>42958</v>
      </c>
      <c r="E136">
        <v>0</v>
      </c>
      <c r="F136" s="1">
        <v>46142</v>
      </c>
      <c r="G136" s="1">
        <v>46458</v>
      </c>
      <c r="H136" s="1">
        <v>46093</v>
      </c>
      <c r="I136">
        <v>360</v>
      </c>
      <c r="J136">
        <v>2</v>
      </c>
      <c r="K136" s="11">
        <v>73</v>
      </c>
      <c r="L136">
        <v>1</v>
      </c>
      <c r="M136">
        <v>2</v>
      </c>
      <c r="N136" t="s">
        <v>92</v>
      </c>
      <c r="O136" t="s">
        <v>93</v>
      </c>
      <c r="P136">
        <v>999</v>
      </c>
      <c r="Q136" s="1" t="s">
        <v>94</v>
      </c>
      <c r="R136" s="12">
        <v>46093</v>
      </c>
      <c r="S136" s="12">
        <v>800000</v>
      </c>
      <c r="T136" s="12">
        <v>-754072.46</v>
      </c>
      <c r="U136" s="12">
        <v>-546</v>
      </c>
      <c r="V136" s="12">
        <v>-754072.46</v>
      </c>
      <c r="W136" s="12">
        <v>-27146.61</v>
      </c>
      <c r="X136">
        <v>7812.19</v>
      </c>
      <c r="Y136" t="str">
        <f t="shared" si="4"/>
        <v>Sit.Normal</v>
      </c>
      <c r="Z136">
        <f t="shared" si="5"/>
        <v>1</v>
      </c>
      <c r="AB136">
        <f>VLOOKUP(A136,rubros_a_considerar!$A$2:$A$13,1,FALSE)</f>
        <v>131731003</v>
      </c>
      <c r="AO136" t="str">
        <f>IFERROR(VLOOKUP(A136,Diccionario!$C$2:$E$65,3,FALSE),"no")</f>
        <v>Prestamos Personales</v>
      </c>
    </row>
    <row r="137" spans="1:41" x14ac:dyDescent="0.35">
      <c r="A137">
        <v>171112001</v>
      </c>
      <c r="B137">
        <v>80</v>
      </c>
      <c r="C137">
        <v>84446</v>
      </c>
      <c r="D137">
        <v>42838</v>
      </c>
      <c r="E137">
        <v>0</v>
      </c>
      <c r="F137" s="1">
        <v>46142</v>
      </c>
      <c r="G137" s="1">
        <v>46198</v>
      </c>
      <c r="H137" s="1">
        <v>45833</v>
      </c>
      <c r="I137">
        <v>365</v>
      </c>
      <c r="J137">
        <v>2</v>
      </c>
      <c r="K137" s="11">
        <v>46</v>
      </c>
      <c r="L137">
        <v>2</v>
      </c>
      <c r="M137">
        <v>2</v>
      </c>
      <c r="N137" t="s">
        <v>92</v>
      </c>
      <c r="O137" t="s">
        <v>93</v>
      </c>
      <c r="P137">
        <v>999</v>
      </c>
      <c r="Q137" s="1" t="s">
        <v>94</v>
      </c>
      <c r="R137" s="12">
        <v>45833</v>
      </c>
      <c r="S137" s="12">
        <v>3000000</v>
      </c>
      <c r="T137" s="12">
        <v>-573871.31000000006</v>
      </c>
      <c r="U137" s="12">
        <v>-415.52</v>
      </c>
      <c r="V137" s="12">
        <v>-573871.31000000006</v>
      </c>
      <c r="W137" s="12">
        <v>-2138.2600000000002</v>
      </c>
      <c r="X137">
        <v>5760.1</v>
      </c>
      <c r="Y137" t="str">
        <f t="shared" si="4"/>
        <v>Sit.Normal</v>
      </c>
      <c r="Z137">
        <f t="shared" si="5"/>
        <v>1</v>
      </c>
      <c r="AB137">
        <f>VLOOKUP(A137,rubros_a_considerar!$A$2:$A$13,1,FALSE)</f>
        <v>171112001</v>
      </c>
      <c r="AO137" t="str">
        <f>IFERROR(VLOOKUP(A137,Diccionario!$C$2:$E$65,3,FALSE),"no")</f>
        <v>Prestamos Personales</v>
      </c>
    </row>
    <row r="138" spans="1:41" x14ac:dyDescent="0.35">
      <c r="A138">
        <v>171112001</v>
      </c>
      <c r="B138">
        <v>80</v>
      </c>
      <c r="C138">
        <v>84446</v>
      </c>
      <c r="D138">
        <v>42936</v>
      </c>
      <c r="E138">
        <v>0</v>
      </c>
      <c r="F138" s="1">
        <v>46142</v>
      </c>
      <c r="G138" s="1">
        <v>46414</v>
      </c>
      <c r="H138" s="1">
        <v>46036</v>
      </c>
      <c r="I138">
        <v>378</v>
      </c>
      <c r="J138">
        <v>2</v>
      </c>
      <c r="K138" s="11">
        <v>46</v>
      </c>
      <c r="L138">
        <v>2</v>
      </c>
      <c r="M138">
        <v>2</v>
      </c>
      <c r="N138" t="s">
        <v>92</v>
      </c>
      <c r="O138" t="s">
        <v>93</v>
      </c>
      <c r="P138">
        <v>999</v>
      </c>
      <c r="Q138" s="1" t="s">
        <v>94</v>
      </c>
      <c r="R138" s="12">
        <v>46036</v>
      </c>
      <c r="S138" s="12">
        <v>4000000</v>
      </c>
      <c r="T138" s="12">
        <v>-3245052.72</v>
      </c>
      <c r="U138" s="12">
        <v>-2349.62</v>
      </c>
      <c r="V138" s="12">
        <v>-3245052.72</v>
      </c>
      <c r="W138" s="12">
        <v>-19559.22</v>
      </c>
      <c r="X138">
        <v>32646.12</v>
      </c>
      <c r="Y138" t="str">
        <f t="shared" si="4"/>
        <v>Sit.Normal</v>
      </c>
      <c r="Z138">
        <f t="shared" si="5"/>
        <v>1</v>
      </c>
      <c r="AB138">
        <f>VLOOKUP(A138,rubros_a_considerar!$A$2:$A$13,1,FALSE)</f>
        <v>171112001</v>
      </c>
      <c r="AO138" t="str">
        <f>IFERROR(VLOOKUP(A138,Diccionario!$C$2:$E$65,3,FALSE),"no")</f>
        <v>Prestamos Personales</v>
      </c>
    </row>
    <row r="139" spans="1:41" x14ac:dyDescent="0.35">
      <c r="A139">
        <v>131731003</v>
      </c>
      <c r="B139">
        <v>80</v>
      </c>
      <c r="C139">
        <v>84457</v>
      </c>
      <c r="D139">
        <v>42922</v>
      </c>
      <c r="E139">
        <v>0</v>
      </c>
      <c r="F139" s="1">
        <v>46142</v>
      </c>
      <c r="G139" s="1">
        <v>46398</v>
      </c>
      <c r="H139" s="1">
        <v>46031</v>
      </c>
      <c r="I139">
        <v>362</v>
      </c>
      <c r="J139">
        <v>2</v>
      </c>
      <c r="K139" s="11">
        <v>73</v>
      </c>
      <c r="L139">
        <v>1</v>
      </c>
      <c r="M139">
        <v>2</v>
      </c>
      <c r="N139" t="s">
        <v>92</v>
      </c>
      <c r="O139" t="s">
        <v>93</v>
      </c>
      <c r="P139">
        <v>999</v>
      </c>
      <c r="Q139" s="1" t="s">
        <v>94</v>
      </c>
      <c r="R139" s="12">
        <v>46031</v>
      </c>
      <c r="S139" s="12">
        <v>800000</v>
      </c>
      <c r="T139" s="12">
        <v>-702170.25</v>
      </c>
      <c r="U139" s="12">
        <v>-508.42</v>
      </c>
      <c r="V139" s="12">
        <v>-702170.25</v>
      </c>
      <c r="W139" s="12">
        <v>-73025.710000000006</v>
      </c>
      <c r="X139">
        <v>7751.96</v>
      </c>
      <c r="Y139" t="str">
        <f t="shared" si="4"/>
        <v>Sit.Normal</v>
      </c>
      <c r="Z139">
        <f t="shared" si="5"/>
        <v>1</v>
      </c>
      <c r="AB139">
        <f>VLOOKUP(A139,rubros_a_considerar!$A$2:$A$13,1,FALSE)</f>
        <v>131731003</v>
      </c>
      <c r="AO139" t="str">
        <f>IFERROR(VLOOKUP(A139,Diccionario!$C$2:$E$65,3,FALSE),"no")</f>
        <v>Prestamos Personales</v>
      </c>
    </row>
    <row r="140" spans="1:41" x14ac:dyDescent="0.35">
      <c r="A140">
        <v>131731003</v>
      </c>
      <c r="B140">
        <v>80</v>
      </c>
      <c r="C140">
        <v>84662</v>
      </c>
      <c r="D140">
        <v>42960</v>
      </c>
      <c r="E140">
        <v>0</v>
      </c>
      <c r="F140" s="1">
        <v>46142</v>
      </c>
      <c r="G140" s="1">
        <v>46461</v>
      </c>
      <c r="H140" s="1">
        <v>46094</v>
      </c>
      <c r="I140">
        <v>362</v>
      </c>
      <c r="J140">
        <v>2</v>
      </c>
      <c r="K140" s="11">
        <v>73</v>
      </c>
      <c r="L140">
        <v>1</v>
      </c>
      <c r="M140">
        <v>2</v>
      </c>
      <c r="N140" t="s">
        <v>92</v>
      </c>
      <c r="O140" t="s">
        <v>93</v>
      </c>
      <c r="P140">
        <v>999</v>
      </c>
      <c r="Q140" s="1" t="s">
        <v>94</v>
      </c>
      <c r="R140" s="12">
        <v>46094</v>
      </c>
      <c r="S140" s="12">
        <v>750000</v>
      </c>
      <c r="T140" s="12">
        <v>-750000</v>
      </c>
      <c r="U140" s="12">
        <v>-543.04999999999995</v>
      </c>
      <c r="V140" s="12">
        <v>-750000</v>
      </c>
      <c r="W140" s="12">
        <v>-72439.63</v>
      </c>
      <c r="X140">
        <v>8224.4</v>
      </c>
      <c r="Y140" t="str">
        <f t="shared" si="4"/>
        <v>Sit.Normal</v>
      </c>
      <c r="Z140">
        <f t="shared" si="5"/>
        <v>1</v>
      </c>
      <c r="AB140">
        <f>VLOOKUP(A140,rubros_a_considerar!$A$2:$A$13,1,FALSE)</f>
        <v>131731003</v>
      </c>
      <c r="AO140" t="str">
        <f>IFERROR(VLOOKUP(A140,Diccionario!$C$2:$E$65,3,FALSE),"no")</f>
        <v>Prestamos Personales</v>
      </c>
    </row>
    <row r="141" spans="1:41" x14ac:dyDescent="0.35">
      <c r="A141">
        <v>131731003</v>
      </c>
      <c r="B141">
        <v>80</v>
      </c>
      <c r="C141">
        <v>85061</v>
      </c>
      <c r="D141">
        <v>42961</v>
      </c>
      <c r="E141">
        <v>0</v>
      </c>
      <c r="F141" s="1">
        <v>46142</v>
      </c>
      <c r="G141" s="1">
        <v>46461</v>
      </c>
      <c r="H141" s="1">
        <v>46094</v>
      </c>
      <c r="I141">
        <v>362</v>
      </c>
      <c r="J141">
        <v>2</v>
      </c>
      <c r="K141" s="11">
        <v>73</v>
      </c>
      <c r="L141">
        <v>1</v>
      </c>
      <c r="M141">
        <v>2</v>
      </c>
      <c r="N141" t="s">
        <v>92</v>
      </c>
      <c r="O141" t="s">
        <v>93</v>
      </c>
      <c r="P141">
        <v>999</v>
      </c>
      <c r="Q141" s="1" t="s">
        <v>94</v>
      </c>
      <c r="R141" s="12">
        <v>46094</v>
      </c>
      <c r="S141" s="12">
        <v>800000</v>
      </c>
      <c r="T141" s="12">
        <v>-752455.11</v>
      </c>
      <c r="U141" s="12">
        <v>-544.82000000000005</v>
      </c>
      <c r="V141" s="12">
        <v>-752455.11</v>
      </c>
      <c r="W141" s="12">
        <v>-27088.38</v>
      </c>
      <c r="X141">
        <v>7795.43</v>
      </c>
      <c r="Y141" t="str">
        <f t="shared" si="4"/>
        <v>Sit.Normal</v>
      </c>
      <c r="Z141">
        <f t="shared" si="5"/>
        <v>1</v>
      </c>
      <c r="AB141">
        <f>VLOOKUP(A141,rubros_a_considerar!$A$2:$A$13,1,FALSE)</f>
        <v>131731003</v>
      </c>
      <c r="AO141" t="str">
        <f>IFERROR(VLOOKUP(A141,Diccionario!$C$2:$E$65,3,FALSE),"no")</f>
        <v>Prestamos Personales</v>
      </c>
    </row>
    <row r="142" spans="1:41" x14ac:dyDescent="0.35">
      <c r="A142">
        <v>131731003</v>
      </c>
      <c r="B142">
        <v>80</v>
      </c>
      <c r="C142">
        <v>85351</v>
      </c>
      <c r="D142">
        <v>42884</v>
      </c>
      <c r="E142">
        <v>0</v>
      </c>
      <c r="F142" s="1">
        <v>46142</v>
      </c>
      <c r="G142" s="1">
        <v>46300</v>
      </c>
      <c r="H142" s="1">
        <v>45933</v>
      </c>
      <c r="I142">
        <v>362</v>
      </c>
      <c r="J142">
        <v>2</v>
      </c>
      <c r="K142" s="11">
        <v>73</v>
      </c>
      <c r="L142">
        <v>1</v>
      </c>
      <c r="M142">
        <v>2</v>
      </c>
      <c r="N142" t="s">
        <v>92</v>
      </c>
      <c r="O142" t="s">
        <v>93</v>
      </c>
      <c r="P142">
        <v>999</v>
      </c>
      <c r="Q142" s="1" t="s">
        <v>94</v>
      </c>
      <c r="R142" s="12">
        <v>45933</v>
      </c>
      <c r="S142" s="12">
        <v>800000</v>
      </c>
      <c r="T142" s="12">
        <v>-469144.17</v>
      </c>
      <c r="U142" s="12">
        <v>-339.69</v>
      </c>
      <c r="V142" s="12">
        <v>-469144.17</v>
      </c>
      <c r="W142" s="12">
        <v>-26272.07</v>
      </c>
      <c r="X142">
        <v>4954.16</v>
      </c>
      <c r="Y142" t="str">
        <f t="shared" si="4"/>
        <v>Sit.Normal</v>
      </c>
      <c r="Z142">
        <f t="shared" si="5"/>
        <v>1</v>
      </c>
      <c r="AB142">
        <f>VLOOKUP(A142,rubros_a_considerar!$A$2:$A$13,1,FALSE)</f>
        <v>131731003</v>
      </c>
      <c r="AO142" t="str">
        <f>IFERROR(VLOOKUP(A142,Diccionario!$C$2:$E$65,3,FALSE),"no")</f>
        <v>Prestamos Personales</v>
      </c>
    </row>
    <row r="143" spans="1:41" x14ac:dyDescent="0.35">
      <c r="A143">
        <v>131731003</v>
      </c>
      <c r="B143">
        <v>80</v>
      </c>
      <c r="C143">
        <v>85604</v>
      </c>
      <c r="D143">
        <v>42933</v>
      </c>
      <c r="E143">
        <v>0</v>
      </c>
      <c r="F143" s="1">
        <v>46142</v>
      </c>
      <c r="G143" s="1">
        <v>46400</v>
      </c>
      <c r="H143" s="1">
        <v>46035</v>
      </c>
      <c r="I143">
        <v>360</v>
      </c>
      <c r="J143">
        <v>2</v>
      </c>
      <c r="K143" s="11">
        <v>73</v>
      </c>
      <c r="L143">
        <v>1</v>
      </c>
      <c r="M143">
        <v>2</v>
      </c>
      <c r="N143" t="s">
        <v>92</v>
      </c>
      <c r="O143" t="s">
        <v>93</v>
      </c>
      <c r="P143">
        <v>999</v>
      </c>
      <c r="Q143" s="1" t="s">
        <v>94</v>
      </c>
      <c r="R143" s="12">
        <v>46035</v>
      </c>
      <c r="S143" s="12">
        <v>800000</v>
      </c>
      <c r="T143" s="12">
        <v>-648850.34</v>
      </c>
      <c r="U143" s="12">
        <v>-469.81</v>
      </c>
      <c r="V143" s="12">
        <v>-648850.34</v>
      </c>
      <c r="W143" s="12">
        <v>-23358.61</v>
      </c>
      <c r="X143">
        <v>6722.09</v>
      </c>
      <c r="Y143" t="str">
        <f t="shared" si="4"/>
        <v>Sit.Normal</v>
      </c>
      <c r="Z143">
        <f t="shared" si="5"/>
        <v>1</v>
      </c>
      <c r="AB143">
        <f>VLOOKUP(A143,rubros_a_considerar!$A$2:$A$13,1,FALSE)</f>
        <v>131731003</v>
      </c>
      <c r="AO143" t="str">
        <f>IFERROR(VLOOKUP(A143,Diccionario!$C$2:$E$65,3,FALSE),"no")</f>
        <v>Prestamos Personales</v>
      </c>
    </row>
    <row r="144" spans="1:41" x14ac:dyDescent="0.35">
      <c r="A144">
        <v>131731003</v>
      </c>
      <c r="B144">
        <v>80</v>
      </c>
      <c r="C144">
        <v>85822</v>
      </c>
      <c r="D144">
        <v>42797</v>
      </c>
      <c r="E144">
        <v>0</v>
      </c>
      <c r="F144" s="1">
        <v>46142</v>
      </c>
      <c r="G144" s="1">
        <v>46147</v>
      </c>
      <c r="H144" s="1">
        <v>45782</v>
      </c>
      <c r="I144">
        <v>360</v>
      </c>
      <c r="J144">
        <v>2</v>
      </c>
      <c r="K144" s="11">
        <v>52</v>
      </c>
      <c r="L144">
        <v>1</v>
      </c>
      <c r="M144">
        <v>2</v>
      </c>
      <c r="N144" t="s">
        <v>92</v>
      </c>
      <c r="O144" t="s">
        <v>97</v>
      </c>
      <c r="P144">
        <v>999</v>
      </c>
      <c r="Q144" s="1" t="s">
        <v>94</v>
      </c>
      <c r="R144" s="12">
        <v>45782</v>
      </c>
      <c r="S144" s="12">
        <v>400000</v>
      </c>
      <c r="T144" s="12">
        <v>-41602.93</v>
      </c>
      <c r="U144" s="12">
        <v>-30.12</v>
      </c>
      <c r="V144" s="12">
        <v>-41602.93</v>
      </c>
      <c r="W144" s="12">
        <v>-1481.75</v>
      </c>
      <c r="X144">
        <v>21542.34</v>
      </c>
      <c r="Y144" t="str">
        <f t="shared" si="4"/>
        <v>Alto Riesgo</v>
      </c>
      <c r="Z144">
        <f t="shared" si="5"/>
        <v>4</v>
      </c>
      <c r="AB144">
        <f>VLOOKUP(A144,rubros_a_considerar!$A$2:$A$13,1,FALSE)</f>
        <v>131731003</v>
      </c>
      <c r="AO144" t="str">
        <f>IFERROR(VLOOKUP(A144,Diccionario!$C$2:$E$65,3,FALSE),"no")</f>
        <v>Prestamos Personales</v>
      </c>
    </row>
    <row r="145" spans="1:41" x14ac:dyDescent="0.35">
      <c r="A145">
        <v>131731003</v>
      </c>
      <c r="B145">
        <v>80</v>
      </c>
      <c r="C145">
        <v>85825</v>
      </c>
      <c r="D145">
        <v>42947</v>
      </c>
      <c r="E145">
        <v>0</v>
      </c>
      <c r="F145" s="1">
        <v>46142</v>
      </c>
      <c r="G145" s="1">
        <v>46433</v>
      </c>
      <c r="H145" s="1">
        <v>46066</v>
      </c>
      <c r="I145">
        <v>362</v>
      </c>
      <c r="J145">
        <v>2</v>
      </c>
      <c r="K145" s="11">
        <v>73</v>
      </c>
      <c r="L145">
        <v>1</v>
      </c>
      <c r="M145">
        <v>2</v>
      </c>
      <c r="N145" t="s">
        <v>92</v>
      </c>
      <c r="O145" t="s">
        <v>93</v>
      </c>
      <c r="P145">
        <v>999</v>
      </c>
      <c r="Q145" s="1" t="s">
        <v>94</v>
      </c>
      <c r="R145" s="12">
        <v>46066</v>
      </c>
      <c r="S145" s="12">
        <v>800000</v>
      </c>
      <c r="T145" s="12">
        <v>-752482</v>
      </c>
      <c r="U145" s="12">
        <v>-544.84</v>
      </c>
      <c r="V145" s="12">
        <v>-752482</v>
      </c>
      <c r="W145" s="12">
        <v>-72238.28</v>
      </c>
      <c r="X145">
        <v>8247.2000000000007</v>
      </c>
      <c r="Y145" t="str">
        <f t="shared" si="4"/>
        <v>Sit.Normal</v>
      </c>
      <c r="Z145">
        <f t="shared" si="5"/>
        <v>1</v>
      </c>
      <c r="AB145">
        <f>VLOOKUP(A145,rubros_a_considerar!$A$2:$A$13,1,FALSE)</f>
        <v>131731003</v>
      </c>
      <c r="AO145" t="str">
        <f>IFERROR(VLOOKUP(A145,Diccionario!$C$2:$E$65,3,FALSE),"no")</f>
        <v>Prestamos Personales</v>
      </c>
    </row>
    <row r="146" spans="1:41" x14ac:dyDescent="0.35">
      <c r="A146">
        <v>131731003</v>
      </c>
      <c r="B146">
        <v>80</v>
      </c>
      <c r="C146">
        <v>85932</v>
      </c>
      <c r="D146">
        <v>42908</v>
      </c>
      <c r="E146">
        <v>0</v>
      </c>
      <c r="F146" s="1">
        <v>46142</v>
      </c>
      <c r="G146" s="1">
        <v>46344</v>
      </c>
      <c r="H146" s="1">
        <v>45979</v>
      </c>
      <c r="I146">
        <v>360</v>
      </c>
      <c r="J146">
        <v>2</v>
      </c>
      <c r="K146" s="11">
        <v>73</v>
      </c>
      <c r="L146">
        <v>1</v>
      </c>
      <c r="M146">
        <v>2</v>
      </c>
      <c r="N146" t="s">
        <v>92</v>
      </c>
      <c r="O146" t="s">
        <v>93</v>
      </c>
      <c r="P146">
        <v>999</v>
      </c>
      <c r="Q146" s="1" t="s">
        <v>94</v>
      </c>
      <c r="R146" s="12">
        <v>45979</v>
      </c>
      <c r="S146" s="12">
        <v>800000</v>
      </c>
      <c r="T146" s="12">
        <v>-534764.78</v>
      </c>
      <c r="U146" s="12">
        <v>-387.2</v>
      </c>
      <c r="V146" s="12">
        <v>-534764.78</v>
      </c>
      <c r="W146" s="12">
        <v>-11764.83</v>
      </c>
      <c r="X146">
        <v>5465.3</v>
      </c>
      <c r="Y146" t="str">
        <f t="shared" si="4"/>
        <v>Sit.Normal</v>
      </c>
      <c r="Z146">
        <f t="shared" si="5"/>
        <v>1</v>
      </c>
      <c r="AB146">
        <f>VLOOKUP(A146,rubros_a_considerar!$A$2:$A$13,1,FALSE)</f>
        <v>131731003</v>
      </c>
      <c r="AO146" t="str">
        <f>IFERROR(VLOOKUP(A146,Diccionario!$C$2:$E$65,3,FALSE),"no")</f>
        <v>Prestamos Personales</v>
      </c>
    </row>
    <row r="147" spans="1:41" x14ac:dyDescent="0.35">
      <c r="A147">
        <v>131731003</v>
      </c>
      <c r="B147">
        <v>80</v>
      </c>
      <c r="C147">
        <v>85978</v>
      </c>
      <c r="D147">
        <v>42891</v>
      </c>
      <c r="E147">
        <v>0</v>
      </c>
      <c r="F147" s="1">
        <v>46142</v>
      </c>
      <c r="G147" s="1">
        <v>46302</v>
      </c>
      <c r="H147" s="1">
        <v>45937</v>
      </c>
      <c r="I147">
        <v>360</v>
      </c>
      <c r="J147">
        <v>2</v>
      </c>
      <c r="K147" s="11">
        <v>73</v>
      </c>
      <c r="L147">
        <v>1</v>
      </c>
      <c r="M147">
        <v>2</v>
      </c>
      <c r="N147" t="s">
        <v>92</v>
      </c>
      <c r="O147" t="s">
        <v>93</v>
      </c>
      <c r="P147">
        <v>999</v>
      </c>
      <c r="Q147" s="1" t="s">
        <v>94</v>
      </c>
      <c r="R147" s="12">
        <v>45937</v>
      </c>
      <c r="S147" s="12">
        <v>600000</v>
      </c>
      <c r="T147" s="12">
        <v>-352221.74</v>
      </c>
      <c r="U147" s="12">
        <v>-255.03</v>
      </c>
      <c r="V147" s="12">
        <v>-352221.74</v>
      </c>
      <c r="W147" s="12">
        <v>-16906.64</v>
      </c>
      <c r="X147">
        <v>3691.28</v>
      </c>
      <c r="Y147" t="str">
        <f t="shared" si="4"/>
        <v>Sit.Normal</v>
      </c>
      <c r="Z147">
        <f t="shared" si="5"/>
        <v>1</v>
      </c>
      <c r="AB147">
        <f>VLOOKUP(A147,rubros_a_considerar!$A$2:$A$13,1,FALSE)</f>
        <v>131731003</v>
      </c>
      <c r="AO147" t="str">
        <f>IFERROR(VLOOKUP(A147,Diccionario!$C$2:$E$65,3,FALSE),"no")</f>
        <v>Prestamos Personales</v>
      </c>
    </row>
    <row r="148" spans="1:41" x14ac:dyDescent="0.35">
      <c r="A148">
        <v>131731003</v>
      </c>
      <c r="B148">
        <v>80</v>
      </c>
      <c r="C148">
        <v>86044</v>
      </c>
      <c r="D148">
        <v>42902</v>
      </c>
      <c r="E148">
        <v>0</v>
      </c>
      <c r="F148" s="1">
        <v>46142</v>
      </c>
      <c r="G148" s="1">
        <v>46328</v>
      </c>
      <c r="H148" s="1">
        <v>45961</v>
      </c>
      <c r="I148">
        <v>362</v>
      </c>
      <c r="J148">
        <v>2</v>
      </c>
      <c r="K148" s="11">
        <v>73</v>
      </c>
      <c r="L148">
        <v>1</v>
      </c>
      <c r="M148">
        <v>2</v>
      </c>
      <c r="N148" t="s">
        <v>92</v>
      </c>
      <c r="O148" t="s">
        <v>93</v>
      </c>
      <c r="P148">
        <v>999</v>
      </c>
      <c r="Q148" s="1" t="s">
        <v>94</v>
      </c>
      <c r="R148" s="12">
        <v>45961</v>
      </c>
      <c r="S148" s="12">
        <v>500000</v>
      </c>
      <c r="T148" s="12">
        <v>-333615.31</v>
      </c>
      <c r="U148" s="12">
        <v>-241.56</v>
      </c>
      <c r="V148" s="12">
        <v>-333615.31</v>
      </c>
      <c r="W148" s="12">
        <v>-20016.919999999998</v>
      </c>
      <c r="X148">
        <v>3536.32</v>
      </c>
      <c r="Y148" t="str">
        <f t="shared" si="4"/>
        <v>Sit.Normal</v>
      </c>
      <c r="Z148">
        <f t="shared" si="5"/>
        <v>1</v>
      </c>
      <c r="AB148">
        <f>VLOOKUP(A148,rubros_a_considerar!$A$2:$A$13,1,FALSE)</f>
        <v>131731003</v>
      </c>
      <c r="AO148" t="str">
        <f>IFERROR(VLOOKUP(A148,Diccionario!$C$2:$E$65,3,FALSE),"no")</f>
        <v>Prestamos Personales</v>
      </c>
    </row>
    <row r="149" spans="1:41" x14ac:dyDescent="0.35">
      <c r="A149">
        <v>131731003</v>
      </c>
      <c r="B149">
        <v>80</v>
      </c>
      <c r="C149">
        <v>86107</v>
      </c>
      <c r="D149">
        <v>42766</v>
      </c>
      <c r="E149">
        <v>0</v>
      </c>
      <c r="F149" s="1">
        <v>46142</v>
      </c>
      <c r="G149" s="1">
        <v>46427</v>
      </c>
      <c r="H149" s="1">
        <v>45695</v>
      </c>
      <c r="I149">
        <v>732</v>
      </c>
      <c r="J149">
        <v>2</v>
      </c>
      <c r="K149" s="11">
        <v>52</v>
      </c>
      <c r="L149">
        <v>2</v>
      </c>
      <c r="M149">
        <v>2</v>
      </c>
      <c r="N149" t="s">
        <v>92</v>
      </c>
      <c r="O149" t="s">
        <v>93</v>
      </c>
      <c r="P149">
        <v>999</v>
      </c>
      <c r="Q149" s="1" t="s">
        <v>94</v>
      </c>
      <c r="R149" s="12">
        <v>45695</v>
      </c>
      <c r="S149" s="12">
        <v>1500000</v>
      </c>
      <c r="T149" s="12">
        <v>-811716.98</v>
      </c>
      <c r="U149" s="12">
        <v>-587.73</v>
      </c>
      <c r="V149" s="12">
        <v>-811716.98</v>
      </c>
      <c r="W149" s="12">
        <v>-25441.21</v>
      </c>
      <c r="X149">
        <v>8371.58</v>
      </c>
      <c r="Y149" t="str">
        <f t="shared" si="4"/>
        <v>Sit.Normal</v>
      </c>
      <c r="Z149">
        <f t="shared" si="5"/>
        <v>1</v>
      </c>
      <c r="AB149">
        <f>VLOOKUP(A149,rubros_a_considerar!$A$2:$A$13,1,FALSE)</f>
        <v>131731003</v>
      </c>
      <c r="AO149" t="str">
        <f>IFERROR(VLOOKUP(A149,Diccionario!$C$2:$E$65,3,FALSE),"no")</f>
        <v>Prestamos Personales</v>
      </c>
    </row>
    <row r="150" spans="1:41" x14ac:dyDescent="0.35">
      <c r="A150">
        <v>131731003</v>
      </c>
      <c r="B150">
        <v>80</v>
      </c>
      <c r="C150">
        <v>86116</v>
      </c>
      <c r="D150">
        <v>42971</v>
      </c>
      <c r="E150">
        <v>0</v>
      </c>
      <c r="F150" s="1">
        <v>46142</v>
      </c>
      <c r="G150" s="1">
        <v>46485</v>
      </c>
      <c r="H150" s="1">
        <v>46120</v>
      </c>
      <c r="I150">
        <v>360</v>
      </c>
      <c r="J150">
        <v>2</v>
      </c>
      <c r="K150" s="11">
        <v>73</v>
      </c>
      <c r="L150">
        <v>1</v>
      </c>
      <c r="M150">
        <v>2</v>
      </c>
      <c r="N150" t="s">
        <v>92</v>
      </c>
      <c r="O150" t="s">
        <v>93</v>
      </c>
      <c r="P150">
        <v>999</v>
      </c>
      <c r="Q150" s="1" t="s">
        <v>94</v>
      </c>
      <c r="R150" s="12">
        <v>46120</v>
      </c>
      <c r="S150" s="12">
        <v>800000</v>
      </c>
      <c r="T150" s="12">
        <v>-800000</v>
      </c>
      <c r="U150" s="12">
        <v>-579.25</v>
      </c>
      <c r="V150" s="12">
        <v>-800000</v>
      </c>
      <c r="W150" s="12">
        <v>-36800</v>
      </c>
      <c r="X150">
        <v>8368</v>
      </c>
      <c r="Y150" t="str">
        <f t="shared" si="4"/>
        <v>Sit.Normal</v>
      </c>
      <c r="Z150">
        <f t="shared" si="5"/>
        <v>1</v>
      </c>
      <c r="AB150">
        <f>VLOOKUP(A150,rubros_a_considerar!$A$2:$A$13,1,FALSE)</f>
        <v>131731003</v>
      </c>
      <c r="AO150" t="str">
        <f>IFERROR(VLOOKUP(A150,Diccionario!$C$2:$E$65,3,FALSE),"no")</f>
        <v>Prestamos Personales</v>
      </c>
    </row>
    <row r="151" spans="1:41" x14ac:dyDescent="0.35">
      <c r="A151">
        <v>131731003</v>
      </c>
      <c r="B151">
        <v>80</v>
      </c>
      <c r="C151">
        <v>86117</v>
      </c>
      <c r="D151">
        <v>42897</v>
      </c>
      <c r="E151">
        <v>0</v>
      </c>
      <c r="F151" s="1">
        <v>46142</v>
      </c>
      <c r="G151" s="1">
        <v>46328</v>
      </c>
      <c r="H151" s="1">
        <v>45952</v>
      </c>
      <c r="I151">
        <v>370</v>
      </c>
      <c r="J151">
        <v>2</v>
      </c>
      <c r="K151" s="11">
        <v>73</v>
      </c>
      <c r="L151">
        <v>1</v>
      </c>
      <c r="M151">
        <v>2</v>
      </c>
      <c r="N151" t="s">
        <v>92</v>
      </c>
      <c r="O151" t="s">
        <v>93</v>
      </c>
      <c r="P151">
        <v>999</v>
      </c>
      <c r="Q151" s="1" t="s">
        <v>94</v>
      </c>
      <c r="R151" s="12">
        <v>45952</v>
      </c>
      <c r="S151" s="12">
        <v>800000</v>
      </c>
      <c r="T151" s="12">
        <v>-541826.43999999994</v>
      </c>
      <c r="U151" s="12">
        <v>-392.32</v>
      </c>
      <c r="V151" s="12">
        <v>-541826.43999999994</v>
      </c>
      <c r="W151" s="12">
        <v>-32509.59</v>
      </c>
      <c r="X151">
        <v>5743.36</v>
      </c>
      <c r="Y151" t="str">
        <f t="shared" si="4"/>
        <v>Sit.Normal</v>
      </c>
      <c r="Z151">
        <f t="shared" si="5"/>
        <v>1</v>
      </c>
      <c r="AB151">
        <f>VLOOKUP(A151,rubros_a_considerar!$A$2:$A$13,1,FALSE)</f>
        <v>131731003</v>
      </c>
      <c r="AO151" t="str">
        <f>IFERROR(VLOOKUP(A151,Diccionario!$C$2:$E$65,3,FALSE),"no")</f>
        <v>Prestamos Personales</v>
      </c>
    </row>
    <row r="152" spans="1:41" x14ac:dyDescent="0.35">
      <c r="A152">
        <v>131731003</v>
      </c>
      <c r="B152">
        <v>80</v>
      </c>
      <c r="C152">
        <v>86152</v>
      </c>
      <c r="D152">
        <v>42805</v>
      </c>
      <c r="E152">
        <v>0</v>
      </c>
      <c r="F152" s="1">
        <v>46142</v>
      </c>
      <c r="G152" s="1">
        <v>46171</v>
      </c>
      <c r="H152" s="1">
        <v>45806</v>
      </c>
      <c r="I152">
        <v>360</v>
      </c>
      <c r="J152">
        <v>2</v>
      </c>
      <c r="K152" s="11">
        <v>52</v>
      </c>
      <c r="L152">
        <v>1</v>
      </c>
      <c r="M152">
        <v>2</v>
      </c>
      <c r="N152" t="s">
        <v>92</v>
      </c>
      <c r="O152" t="s">
        <v>93</v>
      </c>
      <c r="P152">
        <v>999</v>
      </c>
      <c r="Q152" s="1" t="s">
        <v>94</v>
      </c>
      <c r="R152" s="12">
        <v>45806</v>
      </c>
      <c r="S152" s="12">
        <v>400000</v>
      </c>
      <c r="T152" s="12">
        <v>-81524.11</v>
      </c>
      <c r="U152" s="12">
        <v>-59.03</v>
      </c>
      <c r="V152" s="12">
        <v>-81524.11</v>
      </c>
      <c r="W152" s="12">
        <v>-3486.58</v>
      </c>
      <c r="X152">
        <v>850.11</v>
      </c>
      <c r="Y152" t="str">
        <f t="shared" si="4"/>
        <v>Sit.Normal</v>
      </c>
      <c r="Z152">
        <f t="shared" si="5"/>
        <v>1</v>
      </c>
      <c r="AB152">
        <f>VLOOKUP(A152,rubros_a_considerar!$A$2:$A$13,1,FALSE)</f>
        <v>131731003</v>
      </c>
      <c r="AO152" t="str">
        <f>IFERROR(VLOOKUP(A152,Diccionario!$C$2:$E$65,3,FALSE),"no")</f>
        <v>Prestamos Personales</v>
      </c>
    </row>
    <row r="153" spans="1:41" x14ac:dyDescent="0.35">
      <c r="A153">
        <v>131731003</v>
      </c>
      <c r="B153">
        <v>80</v>
      </c>
      <c r="C153">
        <v>86245</v>
      </c>
      <c r="D153">
        <v>42921</v>
      </c>
      <c r="E153">
        <v>0</v>
      </c>
      <c r="F153" s="1">
        <v>46142</v>
      </c>
      <c r="G153" s="1">
        <v>46391</v>
      </c>
      <c r="H153" s="1">
        <v>46024</v>
      </c>
      <c r="I153">
        <v>362</v>
      </c>
      <c r="J153">
        <v>2</v>
      </c>
      <c r="K153" s="11">
        <v>73</v>
      </c>
      <c r="L153">
        <v>1</v>
      </c>
      <c r="M153">
        <v>2</v>
      </c>
      <c r="N153" t="s">
        <v>92</v>
      </c>
      <c r="O153" t="s">
        <v>93</v>
      </c>
      <c r="P153">
        <v>999</v>
      </c>
      <c r="Q153" s="1" t="s">
        <v>94</v>
      </c>
      <c r="R153" s="12">
        <v>46024</v>
      </c>
      <c r="S153" s="12">
        <v>450000</v>
      </c>
      <c r="T153" s="12">
        <v>-394970.77</v>
      </c>
      <c r="U153" s="12">
        <v>-285.98</v>
      </c>
      <c r="V153" s="12">
        <v>-394970.77</v>
      </c>
      <c r="W153" s="12">
        <v>-44865.69</v>
      </c>
      <c r="X153">
        <v>4398.3599999999997</v>
      </c>
      <c r="Y153" t="str">
        <f t="shared" si="4"/>
        <v>Sit.Normal</v>
      </c>
      <c r="Z153">
        <f t="shared" si="5"/>
        <v>1</v>
      </c>
      <c r="AB153">
        <f>VLOOKUP(A153,rubros_a_considerar!$A$2:$A$13,1,FALSE)</f>
        <v>131731003</v>
      </c>
      <c r="AO153" t="str">
        <f>IFERROR(VLOOKUP(A153,Diccionario!$C$2:$E$65,3,FALSE),"no")</f>
        <v>Prestamos Personales</v>
      </c>
    </row>
    <row r="154" spans="1:41" x14ac:dyDescent="0.35">
      <c r="A154">
        <v>131731003</v>
      </c>
      <c r="B154">
        <v>80</v>
      </c>
      <c r="C154">
        <v>86259</v>
      </c>
      <c r="D154">
        <v>42928</v>
      </c>
      <c r="E154">
        <v>0</v>
      </c>
      <c r="F154" s="1">
        <v>46142</v>
      </c>
      <c r="G154" s="1">
        <v>46398</v>
      </c>
      <c r="H154" s="1">
        <v>46031</v>
      </c>
      <c r="I154">
        <v>362</v>
      </c>
      <c r="J154">
        <v>2</v>
      </c>
      <c r="K154" s="11">
        <v>73</v>
      </c>
      <c r="L154">
        <v>1</v>
      </c>
      <c r="M154">
        <v>2</v>
      </c>
      <c r="N154" t="s">
        <v>92</v>
      </c>
      <c r="O154" t="s">
        <v>93</v>
      </c>
      <c r="P154">
        <v>999</v>
      </c>
      <c r="Q154" s="1" t="s">
        <v>94</v>
      </c>
      <c r="R154" s="12">
        <v>46031</v>
      </c>
      <c r="S154" s="12">
        <v>800000</v>
      </c>
      <c r="T154" s="12">
        <v>-648810.30000000005</v>
      </c>
      <c r="U154" s="12">
        <v>-469.78</v>
      </c>
      <c r="V154" s="12">
        <v>-648810.30000000005</v>
      </c>
      <c r="W154" s="12">
        <v>-28547.65</v>
      </c>
      <c r="X154">
        <v>6773.58</v>
      </c>
      <c r="Y154" t="str">
        <f t="shared" si="4"/>
        <v>Sit.Normal</v>
      </c>
      <c r="Z154">
        <f t="shared" si="5"/>
        <v>1</v>
      </c>
      <c r="AB154">
        <f>VLOOKUP(A154,rubros_a_considerar!$A$2:$A$13,1,FALSE)</f>
        <v>131731003</v>
      </c>
      <c r="AO154" t="str">
        <f>IFERROR(VLOOKUP(A154,Diccionario!$C$2:$E$65,3,FALSE),"no")</f>
        <v>Prestamos Personales</v>
      </c>
    </row>
    <row r="155" spans="1:41" x14ac:dyDescent="0.35">
      <c r="A155">
        <v>171112001</v>
      </c>
      <c r="B155">
        <v>80</v>
      </c>
      <c r="C155">
        <v>86329</v>
      </c>
      <c r="D155">
        <v>42719</v>
      </c>
      <c r="E155">
        <v>0</v>
      </c>
      <c r="F155" s="1">
        <v>46142</v>
      </c>
      <c r="G155" s="1">
        <v>47077</v>
      </c>
      <c r="H155" s="1">
        <v>45616</v>
      </c>
      <c r="I155">
        <v>1461</v>
      </c>
      <c r="J155">
        <v>2</v>
      </c>
      <c r="K155" s="11">
        <v>34</v>
      </c>
      <c r="L155">
        <v>2</v>
      </c>
      <c r="M155">
        <v>2</v>
      </c>
      <c r="N155" t="s">
        <v>92</v>
      </c>
      <c r="O155" t="s">
        <v>93</v>
      </c>
      <c r="P155">
        <v>999</v>
      </c>
      <c r="Q155" s="1" t="s">
        <v>94</v>
      </c>
      <c r="R155" s="12">
        <v>45616</v>
      </c>
      <c r="S155" s="12">
        <v>9000000</v>
      </c>
      <c r="T155" s="12">
        <v>-7054028.6799999997</v>
      </c>
      <c r="U155" s="12">
        <v>-5107.5600000000004</v>
      </c>
      <c r="V155" s="12">
        <v>-7054028.6799999997</v>
      </c>
      <c r="W155" s="12">
        <v>-72279.63</v>
      </c>
      <c r="X155">
        <v>71263.08</v>
      </c>
      <c r="Y155" t="str">
        <f t="shared" si="4"/>
        <v>Sit.Normal</v>
      </c>
      <c r="Z155">
        <f t="shared" si="5"/>
        <v>1</v>
      </c>
      <c r="AB155">
        <f>VLOOKUP(A155,rubros_a_considerar!$A$2:$A$13,1,FALSE)</f>
        <v>171112001</v>
      </c>
      <c r="AO155" t="str">
        <f>IFERROR(VLOOKUP(A155,Diccionario!$C$2:$E$65,3,FALSE),"no")</f>
        <v>Prestamos Personales</v>
      </c>
    </row>
    <row r="156" spans="1:41" x14ac:dyDescent="0.35">
      <c r="A156">
        <v>131731003</v>
      </c>
      <c r="B156">
        <v>80</v>
      </c>
      <c r="C156">
        <v>86517</v>
      </c>
      <c r="D156">
        <v>42978</v>
      </c>
      <c r="E156">
        <v>0</v>
      </c>
      <c r="F156" s="1">
        <v>46142</v>
      </c>
      <c r="G156" s="1">
        <v>46496</v>
      </c>
      <c r="H156" s="1">
        <v>46129</v>
      </c>
      <c r="I156">
        <v>362</v>
      </c>
      <c r="J156">
        <v>2</v>
      </c>
      <c r="K156" s="11">
        <v>73</v>
      </c>
      <c r="L156">
        <v>1</v>
      </c>
      <c r="M156">
        <v>2</v>
      </c>
      <c r="N156" t="s">
        <v>92</v>
      </c>
      <c r="O156" t="s">
        <v>93</v>
      </c>
      <c r="P156">
        <v>999</v>
      </c>
      <c r="Q156" s="1" t="s">
        <v>94</v>
      </c>
      <c r="R156" s="12">
        <v>46129</v>
      </c>
      <c r="S156" s="12">
        <v>500000</v>
      </c>
      <c r="T156" s="12">
        <v>-500000</v>
      </c>
      <c r="U156" s="12">
        <v>-362.03</v>
      </c>
      <c r="V156" s="12">
        <v>-500000</v>
      </c>
      <c r="W156" s="12">
        <v>-14000</v>
      </c>
      <c r="X156">
        <v>5140</v>
      </c>
      <c r="Y156" t="str">
        <f t="shared" si="4"/>
        <v>Sit.Normal</v>
      </c>
      <c r="Z156">
        <f t="shared" si="5"/>
        <v>1</v>
      </c>
      <c r="AB156">
        <f>VLOOKUP(A156,rubros_a_considerar!$A$2:$A$13,1,FALSE)</f>
        <v>131731003</v>
      </c>
      <c r="AO156" t="str">
        <f>IFERROR(VLOOKUP(A156,Diccionario!$C$2:$E$65,3,FALSE),"no")</f>
        <v>Prestamos Personales</v>
      </c>
    </row>
    <row r="157" spans="1:41" x14ac:dyDescent="0.35">
      <c r="A157">
        <v>131731003</v>
      </c>
      <c r="B157">
        <v>80</v>
      </c>
      <c r="C157">
        <v>86563</v>
      </c>
      <c r="D157">
        <v>42806</v>
      </c>
      <c r="E157">
        <v>0</v>
      </c>
      <c r="F157" s="1">
        <v>46142</v>
      </c>
      <c r="G157" s="1">
        <v>46178</v>
      </c>
      <c r="H157" s="1">
        <v>45813</v>
      </c>
      <c r="I157">
        <v>360</v>
      </c>
      <c r="J157">
        <v>2</v>
      </c>
      <c r="K157" s="11">
        <v>52</v>
      </c>
      <c r="L157">
        <v>1</v>
      </c>
      <c r="M157">
        <v>2</v>
      </c>
      <c r="N157" t="s">
        <v>92</v>
      </c>
      <c r="O157" t="s">
        <v>93</v>
      </c>
      <c r="P157">
        <v>999</v>
      </c>
      <c r="Q157" s="1" t="s">
        <v>94</v>
      </c>
      <c r="R157" s="12">
        <v>45813</v>
      </c>
      <c r="S157" s="12">
        <v>400000</v>
      </c>
      <c r="T157" s="12">
        <v>-119545.37</v>
      </c>
      <c r="U157" s="12">
        <v>-86.56</v>
      </c>
      <c r="V157" s="12">
        <v>-119545.37</v>
      </c>
      <c r="W157" s="12">
        <v>-9537.43</v>
      </c>
      <c r="X157">
        <v>1290.83</v>
      </c>
      <c r="Y157" t="str">
        <f t="shared" si="4"/>
        <v>Sit.Normal</v>
      </c>
      <c r="Z157">
        <f t="shared" si="5"/>
        <v>1</v>
      </c>
      <c r="AB157">
        <f>VLOOKUP(A157,rubros_a_considerar!$A$2:$A$13,1,FALSE)</f>
        <v>131731003</v>
      </c>
      <c r="AO157" t="str">
        <f>IFERROR(VLOOKUP(A157,Diccionario!$C$2:$E$65,3,FALSE),"no")</f>
        <v>Prestamos Personales</v>
      </c>
    </row>
    <row r="158" spans="1:41" x14ac:dyDescent="0.35">
      <c r="A158">
        <v>131731003</v>
      </c>
      <c r="B158">
        <v>80</v>
      </c>
      <c r="C158">
        <v>86596</v>
      </c>
      <c r="D158">
        <v>42943</v>
      </c>
      <c r="E158">
        <v>0</v>
      </c>
      <c r="F158" s="1">
        <v>46142</v>
      </c>
      <c r="G158" s="1">
        <v>46408</v>
      </c>
      <c r="H158" s="1">
        <v>46043</v>
      </c>
      <c r="I158">
        <v>360</v>
      </c>
      <c r="J158">
        <v>2</v>
      </c>
      <c r="K158" s="11">
        <v>73</v>
      </c>
      <c r="L158">
        <v>1</v>
      </c>
      <c r="M158">
        <v>2</v>
      </c>
      <c r="N158" t="s">
        <v>92</v>
      </c>
      <c r="O158" t="s">
        <v>93</v>
      </c>
      <c r="P158">
        <v>999</v>
      </c>
      <c r="Q158" s="1" t="s">
        <v>94</v>
      </c>
      <c r="R158" s="12">
        <v>46043</v>
      </c>
      <c r="S158" s="12">
        <v>250000</v>
      </c>
      <c r="T158" s="12">
        <v>-202946.69</v>
      </c>
      <c r="U158" s="12">
        <v>-146.94999999999999</v>
      </c>
      <c r="V158" s="12">
        <v>-202946.69</v>
      </c>
      <c r="W158" s="12">
        <v>-4058.93</v>
      </c>
      <c r="X158">
        <v>2070.06</v>
      </c>
      <c r="Y158" t="str">
        <f t="shared" si="4"/>
        <v>Sit.Normal</v>
      </c>
      <c r="Z158">
        <f t="shared" si="5"/>
        <v>1</v>
      </c>
      <c r="AB158">
        <f>VLOOKUP(A158,rubros_a_considerar!$A$2:$A$13,1,FALSE)</f>
        <v>131731003</v>
      </c>
      <c r="AO158" t="str">
        <f>IFERROR(VLOOKUP(A158,Diccionario!$C$2:$E$65,3,FALSE),"no")</f>
        <v>Prestamos Personales</v>
      </c>
    </row>
    <row r="159" spans="1:41" x14ac:dyDescent="0.35">
      <c r="A159">
        <v>131731003</v>
      </c>
      <c r="B159">
        <v>80</v>
      </c>
      <c r="C159">
        <v>86747</v>
      </c>
      <c r="D159">
        <v>42952</v>
      </c>
      <c r="E159">
        <v>0</v>
      </c>
      <c r="F159" s="1">
        <v>46142</v>
      </c>
      <c r="G159" s="1">
        <v>46440</v>
      </c>
      <c r="H159" s="1">
        <v>46073</v>
      </c>
      <c r="I159">
        <v>362</v>
      </c>
      <c r="J159">
        <v>2</v>
      </c>
      <c r="K159" s="11">
        <v>73</v>
      </c>
      <c r="L159">
        <v>1</v>
      </c>
      <c r="M159">
        <v>2</v>
      </c>
      <c r="N159" t="s">
        <v>92</v>
      </c>
      <c r="O159" t="s">
        <v>93</v>
      </c>
      <c r="P159">
        <v>999</v>
      </c>
      <c r="Q159" s="1" t="s">
        <v>94</v>
      </c>
      <c r="R159" s="12">
        <v>46073</v>
      </c>
      <c r="S159" s="12">
        <v>200000</v>
      </c>
      <c r="T159" s="12">
        <v>-175536.41</v>
      </c>
      <c r="U159" s="12">
        <v>-127.1</v>
      </c>
      <c r="V159" s="12">
        <v>-175536.41</v>
      </c>
      <c r="W159" s="12">
        <v>-3861.8</v>
      </c>
      <c r="X159">
        <v>1793.98</v>
      </c>
      <c r="Y159" t="str">
        <f t="shared" si="4"/>
        <v>Sit.Normal</v>
      </c>
      <c r="Z159">
        <f t="shared" si="5"/>
        <v>1</v>
      </c>
      <c r="AB159">
        <f>VLOOKUP(A159,rubros_a_considerar!$A$2:$A$13,1,FALSE)</f>
        <v>131731003</v>
      </c>
      <c r="AO159" t="str">
        <f>IFERROR(VLOOKUP(A159,Diccionario!$C$2:$E$65,3,FALSE),"no")</f>
        <v>Prestamos Personales</v>
      </c>
    </row>
    <row r="160" spans="1:41" x14ac:dyDescent="0.35">
      <c r="A160">
        <v>131731003</v>
      </c>
      <c r="B160">
        <v>80</v>
      </c>
      <c r="C160">
        <v>86774</v>
      </c>
      <c r="D160">
        <v>42931</v>
      </c>
      <c r="E160">
        <v>0</v>
      </c>
      <c r="F160" s="1">
        <v>46142</v>
      </c>
      <c r="G160" s="1">
        <v>46399</v>
      </c>
      <c r="H160" s="1">
        <v>46034</v>
      </c>
      <c r="I160">
        <v>360</v>
      </c>
      <c r="J160">
        <v>2</v>
      </c>
      <c r="K160" s="11">
        <v>73</v>
      </c>
      <c r="L160">
        <v>1</v>
      </c>
      <c r="M160">
        <v>2</v>
      </c>
      <c r="N160" t="s">
        <v>92</v>
      </c>
      <c r="O160" t="s">
        <v>93</v>
      </c>
      <c r="P160">
        <v>999</v>
      </c>
      <c r="Q160" s="1" t="s">
        <v>94</v>
      </c>
      <c r="R160" s="12">
        <v>46034</v>
      </c>
      <c r="S160" s="12">
        <v>800000</v>
      </c>
      <c r="T160" s="12">
        <v>-702143.04</v>
      </c>
      <c r="U160" s="12">
        <v>-508.4</v>
      </c>
      <c r="V160" s="12">
        <v>-702143.04</v>
      </c>
      <c r="W160" s="12">
        <v>-68810.02</v>
      </c>
      <c r="X160">
        <v>7709.53</v>
      </c>
      <c r="Y160" t="str">
        <f t="shared" si="4"/>
        <v>Sit.Normal</v>
      </c>
      <c r="Z160">
        <f t="shared" si="5"/>
        <v>1</v>
      </c>
      <c r="AB160">
        <f>VLOOKUP(A160,rubros_a_considerar!$A$2:$A$13,1,FALSE)</f>
        <v>131731003</v>
      </c>
      <c r="AO160" t="str">
        <f>IFERROR(VLOOKUP(A160,Diccionario!$C$2:$E$65,3,FALSE),"no")</f>
        <v>Prestamos Personales</v>
      </c>
    </row>
    <row r="161" spans="1:41" x14ac:dyDescent="0.35">
      <c r="A161">
        <v>131731003</v>
      </c>
      <c r="B161">
        <v>80</v>
      </c>
      <c r="C161">
        <v>86807</v>
      </c>
      <c r="D161">
        <v>42880</v>
      </c>
      <c r="E161">
        <v>0</v>
      </c>
      <c r="F161" s="1">
        <v>46142</v>
      </c>
      <c r="G161" s="1">
        <v>46290</v>
      </c>
      <c r="H161" s="1">
        <v>45925</v>
      </c>
      <c r="I161">
        <v>360</v>
      </c>
      <c r="J161">
        <v>2</v>
      </c>
      <c r="K161" s="11">
        <v>73</v>
      </c>
      <c r="L161">
        <v>1</v>
      </c>
      <c r="M161">
        <v>2</v>
      </c>
      <c r="N161" t="s">
        <v>92</v>
      </c>
      <c r="O161" t="s">
        <v>93</v>
      </c>
      <c r="P161">
        <v>999</v>
      </c>
      <c r="Q161" s="1" t="s">
        <v>94</v>
      </c>
      <c r="R161" s="12">
        <v>45925</v>
      </c>
      <c r="S161" s="12">
        <v>800000</v>
      </c>
      <c r="T161" s="12">
        <v>-469221.78</v>
      </c>
      <c r="U161" s="12">
        <v>-339.75</v>
      </c>
      <c r="V161" s="12">
        <v>-469221.78</v>
      </c>
      <c r="W161" s="12">
        <v>-33259.83</v>
      </c>
      <c r="X161">
        <v>5024.82</v>
      </c>
      <c r="Y161" t="str">
        <f t="shared" si="4"/>
        <v>Sit.Normal</v>
      </c>
      <c r="Z161">
        <f t="shared" si="5"/>
        <v>1</v>
      </c>
      <c r="AB161">
        <f>VLOOKUP(A161,rubros_a_considerar!$A$2:$A$13,1,FALSE)</f>
        <v>131731003</v>
      </c>
      <c r="AO161" t="str">
        <f>IFERROR(VLOOKUP(A161,Diccionario!$C$2:$E$65,3,FALSE),"no")</f>
        <v>Prestamos Personales</v>
      </c>
    </row>
    <row r="162" spans="1:41" x14ac:dyDescent="0.35">
      <c r="A162">
        <v>131731003</v>
      </c>
      <c r="B162">
        <v>80</v>
      </c>
      <c r="C162">
        <v>86883</v>
      </c>
      <c r="D162">
        <v>42962</v>
      </c>
      <c r="E162">
        <v>0</v>
      </c>
      <c r="F162" s="1">
        <v>46142</v>
      </c>
      <c r="G162" s="1">
        <v>46465</v>
      </c>
      <c r="H162" s="1">
        <v>46100</v>
      </c>
      <c r="I162">
        <v>360</v>
      </c>
      <c r="J162">
        <v>2</v>
      </c>
      <c r="K162" s="11">
        <v>73</v>
      </c>
      <c r="L162">
        <v>1</v>
      </c>
      <c r="M162">
        <v>2</v>
      </c>
      <c r="N162" t="s">
        <v>92</v>
      </c>
      <c r="O162" t="s">
        <v>93</v>
      </c>
      <c r="P162">
        <v>999</v>
      </c>
      <c r="Q162" s="1" t="s">
        <v>94</v>
      </c>
      <c r="R162" s="12">
        <v>46100</v>
      </c>
      <c r="S162" s="12">
        <v>800000</v>
      </c>
      <c r="T162" s="12">
        <v>-800000</v>
      </c>
      <c r="U162" s="12">
        <v>-579.25</v>
      </c>
      <c r="V162" s="12">
        <v>-800000</v>
      </c>
      <c r="W162" s="12">
        <v>-67476.73</v>
      </c>
      <c r="X162">
        <v>8674.77</v>
      </c>
      <c r="Y162" t="str">
        <f t="shared" si="4"/>
        <v>Sit.Normal</v>
      </c>
      <c r="Z162">
        <f t="shared" si="5"/>
        <v>1</v>
      </c>
      <c r="AB162">
        <f>VLOOKUP(A162,rubros_a_considerar!$A$2:$A$13,1,FALSE)</f>
        <v>131731003</v>
      </c>
      <c r="AO162" t="str">
        <f>IFERROR(VLOOKUP(A162,Diccionario!$C$2:$E$65,3,FALSE),"no")</f>
        <v>Prestamos Personales</v>
      </c>
    </row>
    <row r="163" spans="1:41" x14ac:dyDescent="0.35">
      <c r="A163">
        <v>131731003</v>
      </c>
      <c r="B163">
        <v>80</v>
      </c>
      <c r="C163">
        <v>86985</v>
      </c>
      <c r="D163">
        <v>42913</v>
      </c>
      <c r="E163">
        <v>0</v>
      </c>
      <c r="F163" s="1">
        <v>46142</v>
      </c>
      <c r="G163" s="1">
        <v>46363</v>
      </c>
      <c r="H163" s="1">
        <v>45996</v>
      </c>
      <c r="I163">
        <v>362</v>
      </c>
      <c r="J163">
        <v>2</v>
      </c>
      <c r="K163" s="11">
        <v>73</v>
      </c>
      <c r="L163">
        <v>1</v>
      </c>
      <c r="M163">
        <v>2</v>
      </c>
      <c r="N163" t="s">
        <v>92</v>
      </c>
      <c r="O163" t="s">
        <v>93</v>
      </c>
      <c r="P163">
        <v>999</v>
      </c>
      <c r="Q163" s="1" t="s">
        <v>94</v>
      </c>
      <c r="R163" s="12">
        <v>45996</v>
      </c>
      <c r="S163" s="12">
        <v>800000</v>
      </c>
      <c r="T163" s="12">
        <v>-593507.93999999994</v>
      </c>
      <c r="U163" s="12">
        <v>-429.74</v>
      </c>
      <c r="V163" s="12">
        <v>-593507.93999999994</v>
      </c>
      <c r="W163" s="12">
        <v>-29675.4</v>
      </c>
      <c r="X163">
        <v>6231.83</v>
      </c>
      <c r="Y163" t="str">
        <f t="shared" si="4"/>
        <v>Sit.Normal</v>
      </c>
      <c r="Z163">
        <f t="shared" si="5"/>
        <v>1</v>
      </c>
      <c r="AB163">
        <f>VLOOKUP(A163,rubros_a_considerar!$A$2:$A$13,1,FALSE)</f>
        <v>131731003</v>
      </c>
      <c r="AO163" t="str">
        <f>IFERROR(VLOOKUP(A163,Diccionario!$C$2:$E$65,3,FALSE),"no")</f>
        <v>Prestamos Personales</v>
      </c>
    </row>
    <row r="164" spans="1:41" x14ac:dyDescent="0.35">
      <c r="A164">
        <v>131731003</v>
      </c>
      <c r="B164">
        <v>80</v>
      </c>
      <c r="C164">
        <v>86993</v>
      </c>
      <c r="D164">
        <v>42896</v>
      </c>
      <c r="E164">
        <v>0</v>
      </c>
      <c r="F164" s="1">
        <v>46142</v>
      </c>
      <c r="G164" s="1">
        <v>46328</v>
      </c>
      <c r="H164" s="1">
        <v>45951</v>
      </c>
      <c r="I164">
        <v>371</v>
      </c>
      <c r="J164">
        <v>2</v>
      </c>
      <c r="K164" s="11">
        <v>73</v>
      </c>
      <c r="L164">
        <v>1</v>
      </c>
      <c r="M164">
        <v>2</v>
      </c>
      <c r="N164" t="s">
        <v>92</v>
      </c>
      <c r="O164" t="s">
        <v>93</v>
      </c>
      <c r="P164">
        <v>999</v>
      </c>
      <c r="Q164" s="1" t="s">
        <v>94</v>
      </c>
      <c r="R164" s="12">
        <v>45951</v>
      </c>
      <c r="S164" s="12">
        <v>800000</v>
      </c>
      <c r="T164" s="12">
        <v>-542831.68999999994</v>
      </c>
      <c r="U164" s="12">
        <v>-393.04</v>
      </c>
      <c r="V164" s="12">
        <v>-542831.68999999994</v>
      </c>
      <c r="W164" s="12">
        <v>-32569.9</v>
      </c>
      <c r="X164">
        <v>5754.02</v>
      </c>
      <c r="Y164" t="str">
        <f t="shared" si="4"/>
        <v>Sit.Normal</v>
      </c>
      <c r="Z164">
        <f t="shared" si="5"/>
        <v>1</v>
      </c>
      <c r="AB164">
        <f>VLOOKUP(A164,rubros_a_considerar!$A$2:$A$13,1,FALSE)</f>
        <v>131731003</v>
      </c>
      <c r="AO164" t="str">
        <f>IFERROR(VLOOKUP(A164,Diccionario!$C$2:$E$65,3,FALSE),"no")</f>
        <v>Prestamos Personales</v>
      </c>
    </row>
    <row r="165" spans="1:41" x14ac:dyDescent="0.35">
      <c r="A165">
        <v>131731003</v>
      </c>
      <c r="B165">
        <v>80</v>
      </c>
      <c r="C165">
        <v>87005</v>
      </c>
      <c r="D165">
        <v>42982</v>
      </c>
      <c r="E165">
        <v>0</v>
      </c>
      <c r="F165" s="1">
        <v>46142</v>
      </c>
      <c r="G165" s="1">
        <v>46505</v>
      </c>
      <c r="H165" s="1">
        <v>46140</v>
      </c>
      <c r="I165">
        <v>360</v>
      </c>
      <c r="J165">
        <v>2</v>
      </c>
      <c r="K165" s="11">
        <v>73</v>
      </c>
      <c r="L165">
        <v>1</v>
      </c>
      <c r="M165">
        <v>2</v>
      </c>
      <c r="N165" t="s">
        <v>92</v>
      </c>
      <c r="O165" t="s">
        <v>93</v>
      </c>
      <c r="P165">
        <v>999</v>
      </c>
      <c r="Q165" s="1" t="s">
        <v>94</v>
      </c>
      <c r="R165" s="12">
        <v>46140</v>
      </c>
      <c r="S165" s="12">
        <v>800000</v>
      </c>
      <c r="T165" s="12">
        <v>-800000</v>
      </c>
      <c r="U165" s="12">
        <v>-579.25</v>
      </c>
      <c r="V165" s="12">
        <v>-800000</v>
      </c>
      <c r="W165" s="12">
        <v>-4800</v>
      </c>
      <c r="X165">
        <v>8048</v>
      </c>
      <c r="Y165" t="str">
        <f t="shared" si="4"/>
        <v>Sit.Normal</v>
      </c>
      <c r="Z165">
        <f t="shared" si="5"/>
        <v>1</v>
      </c>
      <c r="AB165">
        <f>VLOOKUP(A165,rubros_a_considerar!$A$2:$A$13,1,FALSE)</f>
        <v>131731003</v>
      </c>
      <c r="AO165" t="str">
        <f>IFERROR(VLOOKUP(A165,Diccionario!$C$2:$E$65,3,FALSE),"no")</f>
        <v>Prestamos Personales</v>
      </c>
    </row>
    <row r="166" spans="1:41" x14ac:dyDescent="0.35">
      <c r="A166">
        <v>131731003</v>
      </c>
      <c r="B166">
        <v>80</v>
      </c>
      <c r="C166">
        <v>87039</v>
      </c>
      <c r="D166">
        <v>42868</v>
      </c>
      <c r="E166">
        <v>0</v>
      </c>
      <c r="F166" s="1">
        <v>46142</v>
      </c>
      <c r="G166" s="1">
        <v>46629</v>
      </c>
      <c r="H166" s="1">
        <v>45897</v>
      </c>
      <c r="I166">
        <v>732</v>
      </c>
      <c r="J166">
        <v>2</v>
      </c>
      <c r="K166" s="11">
        <v>52</v>
      </c>
      <c r="L166">
        <v>2</v>
      </c>
      <c r="M166">
        <v>2</v>
      </c>
      <c r="N166" t="s">
        <v>92</v>
      </c>
      <c r="O166" t="s">
        <v>93</v>
      </c>
      <c r="P166">
        <v>999</v>
      </c>
      <c r="Q166" s="1" t="s">
        <v>94</v>
      </c>
      <c r="R166" s="12">
        <v>45897</v>
      </c>
      <c r="S166" s="12">
        <v>5000000</v>
      </c>
      <c r="T166" s="12">
        <v>-3857159.44</v>
      </c>
      <c r="U166" s="12">
        <v>-2792.83</v>
      </c>
      <c r="V166" s="12">
        <v>-3857159.44</v>
      </c>
      <c r="W166" s="12">
        <v>-16485.400000000001</v>
      </c>
      <c r="X166">
        <v>38736.449999999997</v>
      </c>
      <c r="Y166" t="str">
        <f t="shared" si="4"/>
        <v>Sit.Normal</v>
      </c>
      <c r="Z166">
        <f t="shared" si="5"/>
        <v>1</v>
      </c>
      <c r="AB166">
        <f>VLOOKUP(A166,rubros_a_considerar!$A$2:$A$13,1,FALSE)</f>
        <v>131731003</v>
      </c>
      <c r="AO166" t="str">
        <f>IFERROR(VLOOKUP(A166,Diccionario!$C$2:$E$65,3,FALSE),"no")</f>
        <v>Prestamos Personales</v>
      </c>
    </row>
    <row r="167" spans="1:41" x14ac:dyDescent="0.35">
      <c r="A167">
        <v>131731003</v>
      </c>
      <c r="B167">
        <v>80</v>
      </c>
      <c r="C167">
        <v>87159</v>
      </c>
      <c r="D167">
        <v>42857</v>
      </c>
      <c r="E167">
        <v>0</v>
      </c>
      <c r="F167" s="1">
        <v>46142</v>
      </c>
      <c r="G167" s="1">
        <v>46246</v>
      </c>
      <c r="H167" s="1">
        <v>45881</v>
      </c>
      <c r="I167">
        <v>360</v>
      </c>
      <c r="J167">
        <v>2</v>
      </c>
      <c r="K167" s="11">
        <v>52</v>
      </c>
      <c r="L167">
        <v>1</v>
      </c>
      <c r="M167">
        <v>2</v>
      </c>
      <c r="N167" t="s">
        <v>92</v>
      </c>
      <c r="O167" t="s">
        <v>93</v>
      </c>
      <c r="P167">
        <v>999</v>
      </c>
      <c r="Q167" s="1" t="s">
        <v>94</v>
      </c>
      <c r="R167" s="12">
        <v>45881</v>
      </c>
      <c r="S167" s="12">
        <v>450000</v>
      </c>
      <c r="T167" s="12">
        <v>-175930.38</v>
      </c>
      <c r="U167" s="12">
        <v>-127.38</v>
      </c>
      <c r="V167" s="12">
        <v>-175930.38</v>
      </c>
      <c r="W167" s="12">
        <v>-4511.53</v>
      </c>
      <c r="X167">
        <v>1804.42</v>
      </c>
      <c r="Y167" t="str">
        <f t="shared" si="4"/>
        <v>Sit.Normal</v>
      </c>
      <c r="Z167">
        <f t="shared" si="5"/>
        <v>1</v>
      </c>
      <c r="AB167">
        <f>VLOOKUP(A167,rubros_a_considerar!$A$2:$A$13,1,FALSE)</f>
        <v>131731003</v>
      </c>
      <c r="AO167" t="str">
        <f>IFERROR(VLOOKUP(A167,Diccionario!$C$2:$E$65,3,FALSE),"no")</f>
        <v>Prestamos Personales</v>
      </c>
    </row>
    <row r="168" spans="1:41" x14ac:dyDescent="0.35">
      <c r="A168">
        <v>131742001</v>
      </c>
      <c r="B168">
        <v>80</v>
      </c>
      <c r="C168">
        <v>49</v>
      </c>
      <c r="D168">
        <v>0</v>
      </c>
      <c r="E168">
        <v>0</v>
      </c>
      <c r="F168" s="1">
        <v>46142</v>
      </c>
      <c r="G168" s="1">
        <v>46142</v>
      </c>
      <c r="H168" s="1">
        <v>45922</v>
      </c>
      <c r="I168">
        <v>0</v>
      </c>
      <c r="J168">
        <v>0</v>
      </c>
      <c r="K168" s="11">
        <v>101.99</v>
      </c>
      <c r="L168">
        <v>0</v>
      </c>
      <c r="M168">
        <v>0</v>
      </c>
      <c r="N168" t="s">
        <v>92</v>
      </c>
      <c r="O168" t="s">
        <v>93</v>
      </c>
      <c r="P168">
        <v>999</v>
      </c>
      <c r="Q168" s="1" t="s">
        <v>94</v>
      </c>
      <c r="R168" s="12">
        <v>45922</v>
      </c>
      <c r="S168" s="12">
        <v>0</v>
      </c>
      <c r="T168" s="12">
        <v>-59748.59</v>
      </c>
      <c r="U168" s="12">
        <v>-43.26</v>
      </c>
      <c r="V168" s="12">
        <v>-59748.59</v>
      </c>
      <c r="W168" s="12">
        <v>0</v>
      </c>
      <c r="X168">
        <v>597.49</v>
      </c>
      <c r="Y168" t="str">
        <f t="shared" si="4"/>
        <v>Sit.Normal</v>
      </c>
      <c r="Z168">
        <f t="shared" si="5"/>
        <v>1</v>
      </c>
      <c r="AB168">
        <f>VLOOKUP(A168,rubros_a_considerar!$A$2:$A$13,1,FALSE)</f>
        <v>131742001</v>
      </c>
      <c r="AO168" t="str">
        <f>IFERROR(VLOOKUP(A168,Diccionario!$C$2:$E$65,3,FALSE),"no")</f>
        <v>Tarjetas_de_Crédito</v>
      </c>
    </row>
    <row r="169" spans="1:41" x14ac:dyDescent="0.35">
      <c r="A169">
        <v>131742001</v>
      </c>
      <c r="B169">
        <v>80</v>
      </c>
      <c r="C169">
        <v>131</v>
      </c>
      <c r="D169">
        <v>0</v>
      </c>
      <c r="E169">
        <v>0</v>
      </c>
      <c r="F169" s="1">
        <v>46142</v>
      </c>
      <c r="G169" s="1">
        <v>46142</v>
      </c>
      <c r="H169" s="1">
        <v>45673</v>
      </c>
      <c r="I169">
        <v>0</v>
      </c>
      <c r="J169">
        <v>0</v>
      </c>
      <c r="K169" s="11">
        <v>101.99</v>
      </c>
      <c r="L169">
        <v>0</v>
      </c>
      <c r="M169">
        <v>0</v>
      </c>
      <c r="N169" t="s">
        <v>92</v>
      </c>
      <c r="O169" t="s">
        <v>93</v>
      </c>
      <c r="P169">
        <v>999</v>
      </c>
      <c r="Q169" s="1" t="s">
        <v>94</v>
      </c>
      <c r="R169" s="12">
        <v>45673</v>
      </c>
      <c r="S169" s="12">
        <v>0</v>
      </c>
      <c r="T169" s="12">
        <v>-192241.56</v>
      </c>
      <c r="U169" s="12">
        <v>-139.19</v>
      </c>
      <c r="V169" s="12">
        <v>-192241.56</v>
      </c>
      <c r="W169" s="12">
        <v>0</v>
      </c>
      <c r="X169">
        <v>1922.42</v>
      </c>
      <c r="Y169" t="str">
        <f t="shared" si="4"/>
        <v>Sit.Normal</v>
      </c>
      <c r="Z169">
        <f t="shared" si="5"/>
        <v>1</v>
      </c>
      <c r="AB169">
        <f>VLOOKUP(A169,rubros_a_considerar!$A$2:$A$13,1,FALSE)</f>
        <v>131742001</v>
      </c>
      <c r="AO169" t="str">
        <f>IFERROR(VLOOKUP(A169,Diccionario!$C$2:$E$65,3,FALSE),"no")</f>
        <v>Tarjetas_de_Crédito</v>
      </c>
    </row>
    <row r="170" spans="1:41" x14ac:dyDescent="0.35">
      <c r="A170">
        <v>135742001</v>
      </c>
      <c r="B170">
        <v>2</v>
      </c>
      <c r="C170">
        <v>451</v>
      </c>
      <c r="D170">
        <v>0</v>
      </c>
      <c r="E170">
        <v>0</v>
      </c>
      <c r="F170" s="1">
        <v>46142</v>
      </c>
      <c r="G170" s="1">
        <v>46142</v>
      </c>
      <c r="H170" s="1">
        <v>45243</v>
      </c>
      <c r="I170">
        <v>0</v>
      </c>
      <c r="J170">
        <v>0</v>
      </c>
      <c r="K170" s="11">
        <v>0</v>
      </c>
      <c r="L170">
        <v>0</v>
      </c>
      <c r="M170">
        <v>0</v>
      </c>
      <c r="N170" t="s">
        <v>92</v>
      </c>
      <c r="O170" t="s">
        <v>93</v>
      </c>
      <c r="P170">
        <v>990</v>
      </c>
      <c r="Q170" s="1" t="s">
        <v>95</v>
      </c>
      <c r="R170" s="12">
        <v>45243</v>
      </c>
      <c r="S170" s="12">
        <v>0</v>
      </c>
      <c r="T170" s="12">
        <v>-62218.35</v>
      </c>
      <c r="U170" s="12">
        <v>-45.05</v>
      </c>
      <c r="V170" s="12">
        <v>-45.05</v>
      </c>
      <c r="W170" s="12">
        <v>0</v>
      </c>
      <c r="X170">
        <v>0.45</v>
      </c>
      <c r="Y170" t="str">
        <f t="shared" si="4"/>
        <v>Sit.Normal</v>
      </c>
      <c r="Z170">
        <f t="shared" si="5"/>
        <v>1</v>
      </c>
      <c r="AB170">
        <f>VLOOKUP(A170,rubros_a_considerar!$A$2:$A$13,1,FALSE)</f>
        <v>135742001</v>
      </c>
      <c r="AO170" t="str">
        <f>IFERROR(VLOOKUP(A170,Diccionario!$C$2:$E$65,3,FALSE),"no")</f>
        <v>Tarjetas_de_Crédito</v>
      </c>
    </row>
    <row r="171" spans="1:41" x14ac:dyDescent="0.35">
      <c r="A171">
        <v>131742001</v>
      </c>
      <c r="B171">
        <v>80</v>
      </c>
      <c r="C171">
        <v>451</v>
      </c>
      <c r="D171">
        <v>0</v>
      </c>
      <c r="E171">
        <v>0</v>
      </c>
      <c r="F171" s="1">
        <v>46142</v>
      </c>
      <c r="G171" s="1">
        <v>46142</v>
      </c>
      <c r="H171" s="1">
        <v>41162</v>
      </c>
      <c r="I171">
        <v>0</v>
      </c>
      <c r="J171">
        <v>0</v>
      </c>
      <c r="K171" s="11">
        <v>101.99</v>
      </c>
      <c r="L171">
        <v>0</v>
      </c>
      <c r="M171">
        <v>0</v>
      </c>
      <c r="N171" t="s">
        <v>92</v>
      </c>
      <c r="O171" t="s">
        <v>93</v>
      </c>
      <c r="P171">
        <v>990</v>
      </c>
      <c r="Q171" s="1" t="s">
        <v>95</v>
      </c>
      <c r="R171" s="12">
        <v>41162</v>
      </c>
      <c r="S171" s="12">
        <v>0</v>
      </c>
      <c r="T171" s="12">
        <v>-3833321.5</v>
      </c>
      <c r="U171" s="12">
        <v>-2775.57</v>
      </c>
      <c r="V171" s="12">
        <v>-3833321.5</v>
      </c>
      <c r="W171" s="12">
        <v>0</v>
      </c>
      <c r="X171">
        <v>38333.22</v>
      </c>
      <c r="Y171" t="str">
        <f t="shared" si="4"/>
        <v>Sit.Normal</v>
      </c>
      <c r="Z171">
        <f t="shared" si="5"/>
        <v>1</v>
      </c>
      <c r="AB171">
        <f>VLOOKUP(A171,rubros_a_considerar!$A$2:$A$13,1,FALSE)</f>
        <v>131742001</v>
      </c>
      <c r="AO171" t="str">
        <f>IFERROR(VLOOKUP(A171,Diccionario!$C$2:$E$65,3,FALSE),"no")</f>
        <v>Tarjetas_de_Crédito</v>
      </c>
    </row>
    <row r="172" spans="1:41" x14ac:dyDescent="0.35">
      <c r="A172">
        <v>131742001</v>
      </c>
      <c r="B172">
        <v>80</v>
      </c>
      <c r="C172">
        <v>490</v>
      </c>
      <c r="D172">
        <v>0</v>
      </c>
      <c r="E172">
        <v>0</v>
      </c>
      <c r="F172" s="1">
        <v>46142</v>
      </c>
      <c r="G172" s="1">
        <v>46142</v>
      </c>
      <c r="H172" s="1">
        <v>45939</v>
      </c>
      <c r="I172">
        <v>0</v>
      </c>
      <c r="J172">
        <v>0</v>
      </c>
      <c r="K172" s="11">
        <v>101.99</v>
      </c>
      <c r="L172">
        <v>0</v>
      </c>
      <c r="M172">
        <v>0</v>
      </c>
      <c r="N172" t="s">
        <v>92</v>
      </c>
      <c r="O172" t="s">
        <v>93</v>
      </c>
      <c r="P172">
        <v>999</v>
      </c>
      <c r="Q172" s="1" t="s">
        <v>94</v>
      </c>
      <c r="R172" s="12">
        <v>45939</v>
      </c>
      <c r="S172" s="12">
        <v>0</v>
      </c>
      <c r="T172" s="12">
        <v>404.86</v>
      </c>
      <c r="U172" s="12">
        <v>0.28999999999999998</v>
      </c>
      <c r="V172" s="12">
        <v>404.86</v>
      </c>
      <c r="W172" s="12">
        <v>0</v>
      </c>
      <c r="X172">
        <v>0</v>
      </c>
      <c r="Y172" t="str">
        <f t="shared" si="4"/>
        <v>Sit.Normal</v>
      </c>
      <c r="Z172">
        <f t="shared" si="5"/>
        <v>1</v>
      </c>
      <c r="AB172">
        <f>VLOOKUP(A172,rubros_a_considerar!$A$2:$A$13,1,FALSE)</f>
        <v>131742001</v>
      </c>
      <c r="AO172" t="str">
        <f>IFERROR(VLOOKUP(A172,Diccionario!$C$2:$E$65,3,FALSE),"no")</f>
        <v>Tarjetas_de_Crédito</v>
      </c>
    </row>
    <row r="173" spans="1:41" x14ac:dyDescent="0.35">
      <c r="A173">
        <v>135742001</v>
      </c>
      <c r="B173">
        <v>2</v>
      </c>
      <c r="C173">
        <v>490</v>
      </c>
      <c r="D173">
        <v>0</v>
      </c>
      <c r="E173">
        <v>0</v>
      </c>
      <c r="F173" s="1">
        <v>46142</v>
      </c>
      <c r="G173" s="1">
        <v>46142</v>
      </c>
      <c r="H173" s="1">
        <v>46140</v>
      </c>
      <c r="I173">
        <v>0</v>
      </c>
      <c r="J173">
        <v>0</v>
      </c>
      <c r="K173" s="11">
        <v>0</v>
      </c>
      <c r="L173">
        <v>0</v>
      </c>
      <c r="M173">
        <v>0</v>
      </c>
      <c r="N173" t="s">
        <v>92</v>
      </c>
      <c r="O173" t="s">
        <v>93</v>
      </c>
      <c r="P173">
        <v>999</v>
      </c>
      <c r="Q173" s="1" t="s">
        <v>94</v>
      </c>
      <c r="R173" s="12">
        <v>46140</v>
      </c>
      <c r="S173" s="12">
        <v>0</v>
      </c>
      <c r="T173" s="12">
        <v>-19956.830000000002</v>
      </c>
      <c r="U173" s="12">
        <v>-14.45</v>
      </c>
      <c r="V173" s="12">
        <v>-14.45</v>
      </c>
      <c r="W173" s="12">
        <v>0</v>
      </c>
      <c r="X173">
        <v>0.14000000000000001</v>
      </c>
      <c r="Y173" t="str">
        <f t="shared" si="4"/>
        <v>Sit.Normal</v>
      </c>
      <c r="Z173">
        <f t="shared" si="5"/>
        <v>1</v>
      </c>
      <c r="AB173">
        <f>VLOOKUP(A173,rubros_a_considerar!$A$2:$A$13,1,FALSE)</f>
        <v>135742001</v>
      </c>
      <c r="AO173" t="str">
        <f>IFERROR(VLOOKUP(A173,Diccionario!$C$2:$E$65,3,FALSE),"no")</f>
        <v>Tarjetas_de_Crédito</v>
      </c>
    </row>
    <row r="174" spans="1:41" x14ac:dyDescent="0.35">
      <c r="A174">
        <v>131742001</v>
      </c>
      <c r="B174">
        <v>80</v>
      </c>
      <c r="C174">
        <v>902</v>
      </c>
      <c r="D174">
        <v>0</v>
      </c>
      <c r="E174">
        <v>0</v>
      </c>
      <c r="F174" s="1">
        <v>46142</v>
      </c>
      <c r="G174" s="1">
        <v>46142</v>
      </c>
      <c r="H174" s="1">
        <v>40149</v>
      </c>
      <c r="I174">
        <v>0</v>
      </c>
      <c r="J174">
        <v>0</v>
      </c>
      <c r="K174" s="11">
        <v>101.99</v>
      </c>
      <c r="L174">
        <v>0</v>
      </c>
      <c r="M174">
        <v>0</v>
      </c>
      <c r="N174" t="s">
        <v>92</v>
      </c>
      <c r="O174" t="s">
        <v>93</v>
      </c>
      <c r="P174">
        <v>999</v>
      </c>
      <c r="Q174" s="1" t="s">
        <v>94</v>
      </c>
      <c r="R174" s="12">
        <v>40149</v>
      </c>
      <c r="S174" s="12">
        <v>0</v>
      </c>
      <c r="T174" s="12">
        <v>-38301.43</v>
      </c>
      <c r="U174" s="12">
        <v>-27.73</v>
      </c>
      <c r="V174" s="12">
        <v>-38301.43</v>
      </c>
      <c r="W174" s="12">
        <v>0</v>
      </c>
      <c r="X174">
        <v>383.01</v>
      </c>
      <c r="Y174" t="str">
        <f t="shared" si="4"/>
        <v>Sit.Normal</v>
      </c>
      <c r="Z174">
        <f t="shared" si="5"/>
        <v>1</v>
      </c>
      <c r="AB174">
        <f>VLOOKUP(A174,rubros_a_considerar!$A$2:$A$13,1,FALSE)</f>
        <v>131742001</v>
      </c>
      <c r="AO174" t="str">
        <f>IFERROR(VLOOKUP(A174,Diccionario!$C$2:$E$65,3,FALSE),"no")</f>
        <v>Tarjetas_de_Crédito</v>
      </c>
    </row>
    <row r="175" spans="1:41" x14ac:dyDescent="0.35">
      <c r="A175">
        <v>131742001</v>
      </c>
      <c r="B175">
        <v>80</v>
      </c>
      <c r="C175">
        <v>1645</v>
      </c>
      <c r="D175">
        <v>0</v>
      </c>
      <c r="E175">
        <v>0</v>
      </c>
      <c r="F175" s="1">
        <v>46142</v>
      </c>
      <c r="G175" s="1">
        <v>46142</v>
      </c>
      <c r="H175" s="1">
        <v>43294</v>
      </c>
      <c r="I175">
        <v>0</v>
      </c>
      <c r="J175">
        <v>0</v>
      </c>
      <c r="K175" s="11">
        <v>101.99</v>
      </c>
      <c r="L175">
        <v>0</v>
      </c>
      <c r="M175">
        <v>0</v>
      </c>
      <c r="N175" t="s">
        <v>92</v>
      </c>
      <c r="O175" t="s">
        <v>93</v>
      </c>
      <c r="P175">
        <v>332</v>
      </c>
      <c r="Q175" s="1" t="s">
        <v>95</v>
      </c>
      <c r="R175" s="12">
        <v>43294</v>
      </c>
      <c r="S175" s="12">
        <v>0</v>
      </c>
      <c r="T175" s="12">
        <v>-2040309.16</v>
      </c>
      <c r="U175" s="12">
        <v>-1477.31</v>
      </c>
      <c r="V175" s="12">
        <v>-2040309.16</v>
      </c>
      <c r="W175" s="12">
        <v>0</v>
      </c>
      <c r="X175">
        <v>20403.09</v>
      </c>
      <c r="Y175" t="str">
        <f t="shared" si="4"/>
        <v>Sit.Normal</v>
      </c>
      <c r="Z175">
        <f t="shared" si="5"/>
        <v>1</v>
      </c>
      <c r="AB175">
        <f>VLOOKUP(A175,rubros_a_considerar!$A$2:$A$13,1,FALSE)</f>
        <v>131742001</v>
      </c>
      <c r="AO175" t="str">
        <f>IFERROR(VLOOKUP(A175,Diccionario!$C$2:$E$65,3,FALSE),"no")</f>
        <v>Tarjetas_de_Crédito</v>
      </c>
    </row>
    <row r="176" spans="1:41" x14ac:dyDescent="0.35">
      <c r="A176">
        <v>135742001</v>
      </c>
      <c r="B176">
        <v>2</v>
      </c>
      <c r="C176">
        <v>2021</v>
      </c>
      <c r="D176">
        <v>0</v>
      </c>
      <c r="E176">
        <v>0</v>
      </c>
      <c r="F176" s="1">
        <v>46142</v>
      </c>
      <c r="G176" s="1">
        <v>46142</v>
      </c>
      <c r="H176" s="1">
        <v>45099</v>
      </c>
      <c r="I176">
        <v>0</v>
      </c>
      <c r="J176">
        <v>0</v>
      </c>
      <c r="K176" s="11">
        <v>0</v>
      </c>
      <c r="L176">
        <v>0</v>
      </c>
      <c r="M176">
        <v>0</v>
      </c>
      <c r="N176" t="s">
        <v>92</v>
      </c>
      <c r="O176" t="s">
        <v>93</v>
      </c>
      <c r="P176">
        <v>999</v>
      </c>
      <c r="Q176" s="1" t="s">
        <v>94</v>
      </c>
      <c r="R176" s="12">
        <v>45099</v>
      </c>
      <c r="S176" s="12">
        <v>0</v>
      </c>
      <c r="T176" s="12">
        <v>-4378.07</v>
      </c>
      <c r="U176" s="12">
        <v>-3.17</v>
      </c>
      <c r="V176" s="12">
        <v>-3.17</v>
      </c>
      <c r="W176" s="12">
        <v>0</v>
      </c>
      <c r="X176">
        <v>0.03</v>
      </c>
      <c r="Y176" t="str">
        <f t="shared" si="4"/>
        <v>Sit.Normal</v>
      </c>
      <c r="Z176">
        <f t="shared" si="5"/>
        <v>1</v>
      </c>
      <c r="AB176">
        <f>VLOOKUP(A176,rubros_a_considerar!$A$2:$A$13,1,FALSE)</f>
        <v>135742001</v>
      </c>
      <c r="AO176" t="str">
        <f>IFERROR(VLOOKUP(A176,Diccionario!$C$2:$E$65,3,FALSE),"no")</f>
        <v>Tarjetas_de_Crédito</v>
      </c>
    </row>
    <row r="177" spans="1:41" x14ac:dyDescent="0.35">
      <c r="A177">
        <v>131742001</v>
      </c>
      <c r="B177">
        <v>80</v>
      </c>
      <c r="C177">
        <v>2021</v>
      </c>
      <c r="D177">
        <v>0</v>
      </c>
      <c r="E177">
        <v>0</v>
      </c>
      <c r="F177" s="1">
        <v>46142</v>
      </c>
      <c r="G177" s="1">
        <v>46142</v>
      </c>
      <c r="H177" s="1">
        <v>38230</v>
      </c>
      <c r="I177">
        <v>0</v>
      </c>
      <c r="J177">
        <v>0</v>
      </c>
      <c r="K177" s="11">
        <v>101.99</v>
      </c>
      <c r="L177">
        <v>0</v>
      </c>
      <c r="M177">
        <v>0</v>
      </c>
      <c r="N177" t="s">
        <v>92</v>
      </c>
      <c r="O177" t="s">
        <v>93</v>
      </c>
      <c r="P177">
        <v>999</v>
      </c>
      <c r="Q177" s="1" t="s">
        <v>94</v>
      </c>
      <c r="R177" s="12">
        <v>38230</v>
      </c>
      <c r="S177" s="12">
        <v>0</v>
      </c>
      <c r="T177" s="12">
        <v>-1695755.99</v>
      </c>
      <c r="U177" s="12">
        <v>-1227.83</v>
      </c>
      <c r="V177" s="12">
        <v>-1695755.99</v>
      </c>
      <c r="W177" s="12">
        <v>0</v>
      </c>
      <c r="X177">
        <v>16957.560000000001</v>
      </c>
      <c r="Y177" t="str">
        <f t="shared" si="4"/>
        <v>Sit.Normal</v>
      </c>
      <c r="Z177">
        <f t="shared" si="5"/>
        <v>1</v>
      </c>
      <c r="AB177">
        <f>VLOOKUP(A177,rubros_a_considerar!$A$2:$A$13,1,FALSE)</f>
        <v>131742001</v>
      </c>
      <c r="AO177" t="str">
        <f>IFERROR(VLOOKUP(A177,Diccionario!$C$2:$E$65,3,FALSE),"no")</f>
        <v>Tarjetas_de_Crédito</v>
      </c>
    </row>
    <row r="178" spans="1:41" x14ac:dyDescent="0.35">
      <c r="A178">
        <v>135742001</v>
      </c>
      <c r="B178">
        <v>2</v>
      </c>
      <c r="C178">
        <v>2366</v>
      </c>
      <c r="D178">
        <v>0</v>
      </c>
      <c r="E178">
        <v>0</v>
      </c>
      <c r="F178" s="1">
        <v>46142</v>
      </c>
      <c r="G178" s="1">
        <v>46142</v>
      </c>
      <c r="H178" s="1">
        <v>45660</v>
      </c>
      <c r="I178">
        <v>0</v>
      </c>
      <c r="J178">
        <v>0</v>
      </c>
      <c r="K178" s="11">
        <v>0</v>
      </c>
      <c r="L178">
        <v>0</v>
      </c>
      <c r="M178">
        <v>0</v>
      </c>
      <c r="N178" t="s">
        <v>92</v>
      </c>
      <c r="O178" t="s">
        <v>93</v>
      </c>
      <c r="P178">
        <v>999</v>
      </c>
      <c r="Q178" s="1" t="s">
        <v>94</v>
      </c>
      <c r="R178" s="12">
        <v>45660</v>
      </c>
      <c r="S178" s="12">
        <v>0</v>
      </c>
      <c r="T178" s="12">
        <v>-22373.75</v>
      </c>
      <c r="U178" s="12">
        <v>-16.2</v>
      </c>
      <c r="V178" s="12">
        <v>-16.2</v>
      </c>
      <c r="W178" s="12">
        <v>0</v>
      </c>
      <c r="X178">
        <v>0.16</v>
      </c>
      <c r="Y178" t="str">
        <f t="shared" si="4"/>
        <v>Sit.Normal</v>
      </c>
      <c r="Z178">
        <f t="shared" si="5"/>
        <v>1</v>
      </c>
      <c r="AB178">
        <f>VLOOKUP(A178,rubros_a_considerar!$A$2:$A$13,1,FALSE)</f>
        <v>135742001</v>
      </c>
      <c r="AO178" t="str">
        <f>IFERROR(VLOOKUP(A178,Diccionario!$C$2:$E$65,3,FALSE),"no")</f>
        <v>Tarjetas_de_Crédito</v>
      </c>
    </row>
    <row r="179" spans="1:41" x14ac:dyDescent="0.35">
      <c r="A179">
        <v>131742001</v>
      </c>
      <c r="B179">
        <v>80</v>
      </c>
      <c r="C179">
        <v>2366</v>
      </c>
      <c r="D179">
        <v>0</v>
      </c>
      <c r="E179">
        <v>0</v>
      </c>
      <c r="F179" s="1">
        <v>46142</v>
      </c>
      <c r="G179" s="1">
        <v>46142</v>
      </c>
      <c r="H179" s="1">
        <v>42054</v>
      </c>
      <c r="I179">
        <v>0</v>
      </c>
      <c r="J179">
        <v>0</v>
      </c>
      <c r="K179" s="11">
        <v>101.99</v>
      </c>
      <c r="L179">
        <v>0</v>
      </c>
      <c r="M179">
        <v>0</v>
      </c>
      <c r="N179" t="s">
        <v>92</v>
      </c>
      <c r="O179" t="s">
        <v>93</v>
      </c>
      <c r="P179">
        <v>999</v>
      </c>
      <c r="Q179" s="1" t="s">
        <v>94</v>
      </c>
      <c r="R179" s="12">
        <v>42054</v>
      </c>
      <c r="S179" s="12">
        <v>0</v>
      </c>
      <c r="T179" s="12">
        <v>-572935.92000000004</v>
      </c>
      <c r="U179" s="12">
        <v>-414.84</v>
      </c>
      <c r="V179" s="12">
        <v>-572935.92000000004</v>
      </c>
      <c r="W179" s="12">
        <v>0</v>
      </c>
      <c r="X179">
        <v>5729.36</v>
      </c>
      <c r="Y179" t="str">
        <f t="shared" si="4"/>
        <v>Sit.Normal</v>
      </c>
      <c r="Z179">
        <f t="shared" si="5"/>
        <v>1</v>
      </c>
      <c r="AB179">
        <f>VLOOKUP(A179,rubros_a_considerar!$A$2:$A$13,1,FALSE)</f>
        <v>131742001</v>
      </c>
      <c r="AO179" t="str">
        <f>IFERROR(VLOOKUP(A179,Diccionario!$C$2:$E$65,3,FALSE),"no")</f>
        <v>Tarjetas_de_Crédito</v>
      </c>
    </row>
    <row r="180" spans="1:41" x14ac:dyDescent="0.35">
      <c r="A180">
        <v>131742001</v>
      </c>
      <c r="B180">
        <v>80</v>
      </c>
      <c r="C180">
        <v>3833</v>
      </c>
      <c r="D180">
        <v>0</v>
      </c>
      <c r="E180">
        <v>0</v>
      </c>
      <c r="F180" s="1">
        <v>46142</v>
      </c>
      <c r="G180" s="1">
        <v>46142</v>
      </c>
      <c r="H180" s="1">
        <v>46135</v>
      </c>
      <c r="I180">
        <v>0</v>
      </c>
      <c r="J180">
        <v>0</v>
      </c>
      <c r="K180" s="11">
        <v>101.99</v>
      </c>
      <c r="L180">
        <v>0</v>
      </c>
      <c r="M180">
        <v>0</v>
      </c>
      <c r="N180" t="s">
        <v>92</v>
      </c>
      <c r="O180" t="s">
        <v>93</v>
      </c>
      <c r="P180">
        <v>999</v>
      </c>
      <c r="Q180" s="1" t="s">
        <v>94</v>
      </c>
      <c r="R180" s="12">
        <v>46135</v>
      </c>
      <c r="S180" s="12">
        <v>0</v>
      </c>
      <c r="T180" s="12">
        <v>-209497.1</v>
      </c>
      <c r="U180" s="12">
        <v>-151.69</v>
      </c>
      <c r="V180" s="12">
        <v>-209497.1</v>
      </c>
      <c r="W180" s="12">
        <v>0</v>
      </c>
      <c r="X180">
        <v>2094.9699999999998</v>
      </c>
      <c r="Y180" t="str">
        <f t="shared" si="4"/>
        <v>Sit.Normal</v>
      </c>
      <c r="Z180">
        <f t="shared" si="5"/>
        <v>1</v>
      </c>
      <c r="AB180">
        <f>VLOOKUP(A180,rubros_a_considerar!$A$2:$A$13,1,FALSE)</f>
        <v>131742001</v>
      </c>
      <c r="AO180" t="str">
        <f>IFERROR(VLOOKUP(A180,Diccionario!$C$2:$E$65,3,FALSE),"no")</f>
        <v>Tarjetas_de_Crédito</v>
      </c>
    </row>
    <row r="181" spans="1:41" x14ac:dyDescent="0.35">
      <c r="A181">
        <v>131742001</v>
      </c>
      <c r="B181">
        <v>80</v>
      </c>
      <c r="C181">
        <v>6206</v>
      </c>
      <c r="D181">
        <v>0</v>
      </c>
      <c r="E181">
        <v>0</v>
      </c>
      <c r="F181" s="1">
        <v>46142</v>
      </c>
      <c r="G181" s="1">
        <v>46142</v>
      </c>
      <c r="H181" s="1">
        <v>46133</v>
      </c>
      <c r="I181">
        <v>0</v>
      </c>
      <c r="J181">
        <v>0</v>
      </c>
      <c r="K181" s="11">
        <v>101.99</v>
      </c>
      <c r="L181">
        <v>0</v>
      </c>
      <c r="M181">
        <v>0</v>
      </c>
      <c r="N181" t="s">
        <v>92</v>
      </c>
      <c r="O181" t="s">
        <v>93</v>
      </c>
      <c r="P181">
        <v>466</v>
      </c>
      <c r="Q181" s="1" t="s">
        <v>95</v>
      </c>
      <c r="R181" s="12">
        <v>46133</v>
      </c>
      <c r="S181" s="12">
        <v>0</v>
      </c>
      <c r="T181" s="12">
        <v>-284551.76</v>
      </c>
      <c r="U181" s="12">
        <v>-206.03</v>
      </c>
      <c r="V181" s="12">
        <v>-284551.76</v>
      </c>
      <c r="W181" s="12">
        <v>0</v>
      </c>
      <c r="X181">
        <v>2845.52</v>
      </c>
      <c r="Y181" t="str">
        <f t="shared" si="4"/>
        <v>Sit.Normal</v>
      </c>
      <c r="Z181">
        <f t="shared" si="5"/>
        <v>1</v>
      </c>
      <c r="AB181">
        <f>VLOOKUP(A181,rubros_a_considerar!$A$2:$A$13,1,FALSE)</f>
        <v>131742001</v>
      </c>
      <c r="AO181" t="str">
        <f>IFERROR(VLOOKUP(A181,Diccionario!$C$2:$E$65,3,FALSE),"no")</f>
        <v>Tarjetas_de_Crédito</v>
      </c>
    </row>
    <row r="182" spans="1:41" x14ac:dyDescent="0.35">
      <c r="A182">
        <v>131742001</v>
      </c>
      <c r="B182">
        <v>80</v>
      </c>
      <c r="C182">
        <v>6665</v>
      </c>
      <c r="D182">
        <v>0</v>
      </c>
      <c r="E182">
        <v>0</v>
      </c>
      <c r="F182" s="1">
        <v>46142</v>
      </c>
      <c r="G182" s="1">
        <v>46142</v>
      </c>
      <c r="H182" s="1">
        <v>41382</v>
      </c>
      <c r="I182">
        <v>0</v>
      </c>
      <c r="J182">
        <v>0</v>
      </c>
      <c r="K182" s="11">
        <v>101.99</v>
      </c>
      <c r="L182">
        <v>0</v>
      </c>
      <c r="M182">
        <v>0</v>
      </c>
      <c r="N182" t="s">
        <v>92</v>
      </c>
      <c r="O182" t="s">
        <v>93</v>
      </c>
      <c r="P182">
        <v>999</v>
      </c>
      <c r="Q182" s="1" t="s">
        <v>94</v>
      </c>
      <c r="R182" s="12">
        <v>41382</v>
      </c>
      <c r="S182" s="12">
        <v>0</v>
      </c>
      <c r="T182" s="12">
        <v>-3365078.63</v>
      </c>
      <c r="U182" s="12">
        <v>-2436.5300000000002</v>
      </c>
      <c r="V182" s="12">
        <v>-3365078.63</v>
      </c>
      <c r="W182" s="12">
        <v>0</v>
      </c>
      <c r="X182">
        <v>33650.79</v>
      </c>
      <c r="Y182" t="str">
        <f t="shared" si="4"/>
        <v>Sit.Normal</v>
      </c>
      <c r="Z182">
        <f t="shared" si="5"/>
        <v>1</v>
      </c>
      <c r="AB182">
        <f>VLOOKUP(A182,rubros_a_considerar!$A$2:$A$13,1,FALSE)</f>
        <v>131742001</v>
      </c>
      <c r="AO182" t="str">
        <f>IFERROR(VLOOKUP(A182,Diccionario!$C$2:$E$65,3,FALSE),"no")</f>
        <v>Tarjetas_de_Crédito</v>
      </c>
    </row>
    <row r="183" spans="1:41" x14ac:dyDescent="0.35">
      <c r="A183">
        <v>135742001</v>
      </c>
      <c r="B183">
        <v>2</v>
      </c>
      <c r="C183">
        <v>6665</v>
      </c>
      <c r="D183">
        <v>0</v>
      </c>
      <c r="E183">
        <v>0</v>
      </c>
      <c r="F183" s="1">
        <v>46142</v>
      </c>
      <c r="G183" s="1">
        <v>46142</v>
      </c>
      <c r="H183" s="1">
        <v>46027</v>
      </c>
      <c r="I183">
        <v>0</v>
      </c>
      <c r="J183">
        <v>0</v>
      </c>
      <c r="K183" s="11">
        <v>0</v>
      </c>
      <c r="L183">
        <v>0</v>
      </c>
      <c r="M183">
        <v>0</v>
      </c>
      <c r="N183" t="s">
        <v>92</v>
      </c>
      <c r="O183" t="s">
        <v>93</v>
      </c>
      <c r="P183">
        <v>999</v>
      </c>
      <c r="Q183" s="1" t="s">
        <v>94</v>
      </c>
      <c r="R183" s="12">
        <v>46027</v>
      </c>
      <c r="S183" s="12">
        <v>0</v>
      </c>
      <c r="T183" s="12">
        <v>-3587533.41</v>
      </c>
      <c r="U183" s="12">
        <v>-2597.6</v>
      </c>
      <c r="V183" s="12">
        <v>-2597.6</v>
      </c>
      <c r="W183" s="12">
        <v>0</v>
      </c>
      <c r="X183">
        <v>25.98</v>
      </c>
      <c r="Y183" t="str">
        <f t="shared" si="4"/>
        <v>Sit.Normal</v>
      </c>
      <c r="Z183">
        <f t="shared" si="5"/>
        <v>1</v>
      </c>
      <c r="AB183">
        <f>VLOOKUP(A183,rubros_a_considerar!$A$2:$A$13,1,FALSE)</f>
        <v>135742001</v>
      </c>
      <c r="AO183" t="str">
        <f>IFERROR(VLOOKUP(A183,Diccionario!$C$2:$E$65,3,FALSE),"no")</f>
        <v>Tarjetas_de_Crédito</v>
      </c>
    </row>
    <row r="184" spans="1:41" x14ac:dyDescent="0.35">
      <c r="A184">
        <v>135742001</v>
      </c>
      <c r="B184">
        <v>2</v>
      </c>
      <c r="C184">
        <v>6702</v>
      </c>
      <c r="D184">
        <v>0</v>
      </c>
      <c r="E184">
        <v>0</v>
      </c>
      <c r="F184" s="1">
        <v>46142</v>
      </c>
      <c r="G184" s="1">
        <v>46142</v>
      </c>
      <c r="H184" s="1">
        <v>45162</v>
      </c>
      <c r="I184">
        <v>0</v>
      </c>
      <c r="J184">
        <v>0</v>
      </c>
      <c r="K184" s="11">
        <v>0</v>
      </c>
      <c r="L184">
        <v>0</v>
      </c>
      <c r="M184">
        <v>0</v>
      </c>
      <c r="N184" t="s">
        <v>92</v>
      </c>
      <c r="O184" t="s">
        <v>93</v>
      </c>
      <c r="P184">
        <v>999</v>
      </c>
      <c r="Q184" s="1" t="s">
        <v>94</v>
      </c>
      <c r="R184" s="12">
        <v>45162</v>
      </c>
      <c r="S184" s="12">
        <v>0</v>
      </c>
      <c r="T184" s="12">
        <v>-31723.759999999998</v>
      </c>
      <c r="U184" s="12">
        <v>-22.97</v>
      </c>
      <c r="V184" s="12">
        <v>-22.97</v>
      </c>
      <c r="W184" s="12">
        <v>0</v>
      </c>
      <c r="X184">
        <v>0.23</v>
      </c>
      <c r="Y184" t="str">
        <f t="shared" si="4"/>
        <v>Sit.Normal</v>
      </c>
      <c r="Z184">
        <f t="shared" si="5"/>
        <v>1</v>
      </c>
      <c r="AB184">
        <f>VLOOKUP(A184,rubros_a_considerar!$A$2:$A$13,1,FALSE)</f>
        <v>135742001</v>
      </c>
      <c r="AO184" t="str">
        <f>IFERROR(VLOOKUP(A184,Diccionario!$C$2:$E$65,3,FALSE),"no")</f>
        <v>Tarjetas_de_Crédito</v>
      </c>
    </row>
    <row r="185" spans="1:41" x14ac:dyDescent="0.35">
      <c r="A185">
        <v>131742001</v>
      </c>
      <c r="B185">
        <v>80</v>
      </c>
      <c r="C185">
        <v>6702</v>
      </c>
      <c r="D185">
        <v>0</v>
      </c>
      <c r="E185">
        <v>0</v>
      </c>
      <c r="F185" s="1">
        <v>46142</v>
      </c>
      <c r="G185" s="1">
        <v>46142</v>
      </c>
      <c r="H185" s="1">
        <v>36978</v>
      </c>
      <c r="I185">
        <v>0</v>
      </c>
      <c r="J185">
        <v>0</v>
      </c>
      <c r="K185" s="11">
        <v>101.99</v>
      </c>
      <c r="L185">
        <v>0</v>
      </c>
      <c r="M185">
        <v>0</v>
      </c>
      <c r="N185" t="s">
        <v>92</v>
      </c>
      <c r="O185" t="s">
        <v>93</v>
      </c>
      <c r="P185">
        <v>999</v>
      </c>
      <c r="Q185" s="1" t="s">
        <v>94</v>
      </c>
      <c r="R185" s="12">
        <v>36978</v>
      </c>
      <c r="S185" s="12">
        <v>0</v>
      </c>
      <c r="T185" s="12">
        <v>-3886656.45</v>
      </c>
      <c r="U185" s="12">
        <v>-2814.18</v>
      </c>
      <c r="V185" s="12">
        <v>-3886656.45</v>
      </c>
      <c r="W185" s="12">
        <v>0</v>
      </c>
      <c r="X185">
        <v>38866.559999999998</v>
      </c>
      <c r="Y185" t="str">
        <f t="shared" si="4"/>
        <v>Sit.Normal</v>
      </c>
      <c r="Z185">
        <f t="shared" si="5"/>
        <v>1</v>
      </c>
      <c r="AB185">
        <f>VLOOKUP(A185,rubros_a_considerar!$A$2:$A$13,1,FALSE)</f>
        <v>131742001</v>
      </c>
      <c r="AO185" t="str">
        <f>IFERROR(VLOOKUP(A185,Diccionario!$C$2:$E$65,3,FALSE),"no")</f>
        <v>Tarjetas_de_Crédito</v>
      </c>
    </row>
    <row r="186" spans="1:41" x14ac:dyDescent="0.35">
      <c r="A186">
        <v>131742001</v>
      </c>
      <c r="B186">
        <v>80</v>
      </c>
      <c r="C186">
        <v>7810</v>
      </c>
      <c r="D186">
        <v>0</v>
      </c>
      <c r="E186">
        <v>0</v>
      </c>
      <c r="F186" s="1">
        <v>46142</v>
      </c>
      <c r="G186" s="1">
        <v>46142</v>
      </c>
      <c r="H186" s="1">
        <v>40666</v>
      </c>
      <c r="I186">
        <v>0</v>
      </c>
      <c r="J186">
        <v>0</v>
      </c>
      <c r="K186" s="11">
        <v>101.99</v>
      </c>
      <c r="L186">
        <v>0</v>
      </c>
      <c r="M186">
        <v>0</v>
      </c>
      <c r="N186" t="s">
        <v>92</v>
      </c>
      <c r="O186" t="s">
        <v>93</v>
      </c>
      <c r="P186">
        <v>0</v>
      </c>
      <c r="Q186" s="1" t="s">
        <v>94</v>
      </c>
      <c r="R186" s="12">
        <v>40666</v>
      </c>
      <c r="S186" s="12">
        <v>0</v>
      </c>
      <c r="T186" s="12">
        <v>-71211.240000000005</v>
      </c>
      <c r="U186" s="12">
        <v>-51.56</v>
      </c>
      <c r="V186" s="12">
        <v>-71211.240000000005</v>
      </c>
      <c r="W186" s="12">
        <v>0</v>
      </c>
      <c r="X186">
        <v>712.11</v>
      </c>
      <c r="Y186" t="str">
        <f t="shared" si="4"/>
        <v>Sit.Normal</v>
      </c>
      <c r="Z186">
        <f t="shared" si="5"/>
        <v>1</v>
      </c>
      <c r="AB186">
        <f>VLOOKUP(A186,rubros_a_considerar!$A$2:$A$13,1,FALSE)</f>
        <v>131742001</v>
      </c>
      <c r="AO186" t="str">
        <f>IFERROR(VLOOKUP(A186,Diccionario!$C$2:$E$65,3,FALSE),"no")</f>
        <v>Tarjetas_de_Crédito</v>
      </c>
    </row>
    <row r="187" spans="1:41" x14ac:dyDescent="0.35">
      <c r="A187">
        <v>135742001</v>
      </c>
      <c r="B187">
        <v>2</v>
      </c>
      <c r="C187">
        <v>11623</v>
      </c>
      <c r="D187">
        <v>0</v>
      </c>
      <c r="E187">
        <v>0</v>
      </c>
      <c r="F187" s="1">
        <v>46142</v>
      </c>
      <c r="G187" s="1">
        <v>46142</v>
      </c>
      <c r="H187" s="1">
        <v>45386</v>
      </c>
      <c r="I187">
        <v>0</v>
      </c>
      <c r="J187">
        <v>0</v>
      </c>
      <c r="K187" s="11">
        <v>0</v>
      </c>
      <c r="L187">
        <v>0</v>
      </c>
      <c r="M187">
        <v>0</v>
      </c>
      <c r="N187" t="s">
        <v>92</v>
      </c>
      <c r="O187" t="s">
        <v>93</v>
      </c>
      <c r="P187">
        <v>999</v>
      </c>
      <c r="Q187" s="1" t="s">
        <v>94</v>
      </c>
      <c r="R187" s="12">
        <v>45386</v>
      </c>
      <c r="S187" s="12">
        <v>0</v>
      </c>
      <c r="T187" s="12">
        <v>-2518676.06</v>
      </c>
      <c r="U187" s="12">
        <v>-1823.68</v>
      </c>
      <c r="V187" s="12">
        <v>-1823.68</v>
      </c>
      <c r="W187" s="12">
        <v>0</v>
      </c>
      <c r="X187">
        <v>18.239999999999998</v>
      </c>
      <c r="Y187" t="str">
        <f t="shared" si="4"/>
        <v>Sit.Normal</v>
      </c>
      <c r="Z187">
        <f t="shared" si="5"/>
        <v>1</v>
      </c>
      <c r="AB187">
        <f>VLOOKUP(A187,rubros_a_considerar!$A$2:$A$13,1,FALSE)</f>
        <v>135742001</v>
      </c>
      <c r="AO187" t="str">
        <f>IFERROR(VLOOKUP(A187,Diccionario!$C$2:$E$65,3,FALSE),"no")</f>
        <v>Tarjetas_de_Crédito</v>
      </c>
    </row>
    <row r="188" spans="1:41" x14ac:dyDescent="0.35">
      <c r="A188">
        <v>131742001</v>
      </c>
      <c r="B188">
        <v>80</v>
      </c>
      <c r="C188">
        <v>11623</v>
      </c>
      <c r="D188">
        <v>0</v>
      </c>
      <c r="E188">
        <v>0</v>
      </c>
      <c r="F188" s="1">
        <v>46142</v>
      </c>
      <c r="G188" s="1">
        <v>46142</v>
      </c>
      <c r="H188" s="1">
        <v>41382</v>
      </c>
      <c r="I188">
        <v>0</v>
      </c>
      <c r="J188">
        <v>0</v>
      </c>
      <c r="K188" s="11">
        <v>101.99</v>
      </c>
      <c r="L188">
        <v>0</v>
      </c>
      <c r="M188">
        <v>0</v>
      </c>
      <c r="N188" t="s">
        <v>92</v>
      </c>
      <c r="O188" t="s">
        <v>93</v>
      </c>
      <c r="P188">
        <v>999</v>
      </c>
      <c r="Q188" s="1" t="s">
        <v>94</v>
      </c>
      <c r="R188" s="12">
        <v>41382</v>
      </c>
      <c r="S188" s="12">
        <v>0</v>
      </c>
      <c r="T188" s="12">
        <v>-2900689.58</v>
      </c>
      <c r="U188" s="12">
        <v>-2100.2800000000002</v>
      </c>
      <c r="V188" s="12">
        <v>-2900689.58</v>
      </c>
      <c r="W188" s="12">
        <v>0</v>
      </c>
      <c r="X188">
        <v>29006.9</v>
      </c>
      <c r="Y188" t="str">
        <f t="shared" si="4"/>
        <v>Sit.Normal</v>
      </c>
      <c r="Z188">
        <f t="shared" si="5"/>
        <v>1</v>
      </c>
      <c r="AB188">
        <f>VLOOKUP(A188,rubros_a_considerar!$A$2:$A$13,1,FALSE)</f>
        <v>131742001</v>
      </c>
      <c r="AO188" t="str">
        <f>IFERROR(VLOOKUP(A188,Diccionario!$C$2:$E$65,3,FALSE),"no")</f>
        <v>Tarjetas_de_Crédito</v>
      </c>
    </row>
    <row r="189" spans="1:41" x14ac:dyDescent="0.35">
      <c r="A189">
        <v>135742001</v>
      </c>
      <c r="B189">
        <v>2</v>
      </c>
      <c r="C189">
        <v>13377</v>
      </c>
      <c r="D189">
        <v>0</v>
      </c>
      <c r="E189">
        <v>0</v>
      </c>
      <c r="F189" s="1">
        <v>46142</v>
      </c>
      <c r="G189" s="1">
        <v>46142</v>
      </c>
      <c r="H189" s="1">
        <v>45832</v>
      </c>
      <c r="I189">
        <v>0</v>
      </c>
      <c r="J189">
        <v>0</v>
      </c>
      <c r="K189" s="11">
        <v>0</v>
      </c>
      <c r="L189">
        <v>0</v>
      </c>
      <c r="M189">
        <v>0</v>
      </c>
      <c r="N189" t="s">
        <v>92</v>
      </c>
      <c r="O189" t="s">
        <v>93</v>
      </c>
      <c r="P189">
        <v>999</v>
      </c>
      <c r="Q189" s="1" t="s">
        <v>94</v>
      </c>
      <c r="R189" s="12">
        <v>45832</v>
      </c>
      <c r="S189" s="12">
        <v>0</v>
      </c>
      <c r="T189" s="12">
        <v>-19238.66</v>
      </c>
      <c r="U189" s="12">
        <v>-13.93</v>
      </c>
      <c r="V189" s="12">
        <v>-13.93</v>
      </c>
      <c r="W189" s="12">
        <v>0</v>
      </c>
      <c r="X189">
        <v>0.14000000000000001</v>
      </c>
      <c r="Y189" t="str">
        <f t="shared" si="4"/>
        <v>Sit.Normal</v>
      </c>
      <c r="Z189">
        <f t="shared" si="5"/>
        <v>1</v>
      </c>
      <c r="AB189">
        <f>VLOOKUP(A189,rubros_a_considerar!$A$2:$A$13,1,FALSE)</f>
        <v>135742001</v>
      </c>
      <c r="AO189" t="str">
        <f>IFERROR(VLOOKUP(A189,Diccionario!$C$2:$E$65,3,FALSE),"no")</f>
        <v>Tarjetas_de_Crédito</v>
      </c>
    </row>
    <row r="190" spans="1:41" x14ac:dyDescent="0.35">
      <c r="A190">
        <v>131742001</v>
      </c>
      <c r="B190">
        <v>80</v>
      </c>
      <c r="C190">
        <v>13377</v>
      </c>
      <c r="D190">
        <v>0</v>
      </c>
      <c r="E190">
        <v>0</v>
      </c>
      <c r="F190" s="1">
        <v>46142</v>
      </c>
      <c r="G190" s="1">
        <v>46142</v>
      </c>
      <c r="H190" s="1">
        <v>45643</v>
      </c>
      <c r="I190">
        <v>0</v>
      </c>
      <c r="J190">
        <v>0</v>
      </c>
      <c r="K190" s="11">
        <v>101.99</v>
      </c>
      <c r="L190">
        <v>0</v>
      </c>
      <c r="M190">
        <v>0</v>
      </c>
      <c r="N190" t="s">
        <v>92</v>
      </c>
      <c r="O190" t="s">
        <v>93</v>
      </c>
      <c r="P190">
        <v>999</v>
      </c>
      <c r="Q190" s="1" t="s">
        <v>94</v>
      </c>
      <c r="R190" s="12">
        <v>45643</v>
      </c>
      <c r="S190" s="12">
        <v>0</v>
      </c>
      <c r="T190" s="12">
        <v>-20814.150000000001</v>
      </c>
      <c r="U190" s="12">
        <v>-15.07</v>
      </c>
      <c r="V190" s="12">
        <v>-20814.150000000001</v>
      </c>
      <c r="W190" s="12">
        <v>0</v>
      </c>
      <c r="X190">
        <v>208.14</v>
      </c>
      <c r="Y190" t="str">
        <f t="shared" si="4"/>
        <v>Sit.Normal</v>
      </c>
      <c r="Z190">
        <f t="shared" si="5"/>
        <v>1</v>
      </c>
      <c r="AB190">
        <f>VLOOKUP(A190,rubros_a_considerar!$A$2:$A$13,1,FALSE)</f>
        <v>131742001</v>
      </c>
      <c r="AO190" t="str">
        <f>IFERROR(VLOOKUP(A190,Diccionario!$C$2:$E$65,3,FALSE),"no")</f>
        <v>Tarjetas_de_Crédito</v>
      </c>
    </row>
    <row r="191" spans="1:41" x14ac:dyDescent="0.35">
      <c r="A191">
        <v>135742001</v>
      </c>
      <c r="B191">
        <v>2</v>
      </c>
      <c r="C191">
        <v>14998</v>
      </c>
      <c r="D191">
        <v>0</v>
      </c>
      <c r="E191">
        <v>0</v>
      </c>
      <c r="F191" s="1">
        <v>46142</v>
      </c>
      <c r="G191" s="1">
        <v>46142</v>
      </c>
      <c r="H191" s="1">
        <v>46129</v>
      </c>
      <c r="I191">
        <v>0</v>
      </c>
      <c r="J191">
        <v>0</v>
      </c>
      <c r="K191" s="11">
        <v>0</v>
      </c>
      <c r="L191">
        <v>0</v>
      </c>
      <c r="M191">
        <v>0</v>
      </c>
      <c r="N191" t="s">
        <v>92</v>
      </c>
      <c r="O191" t="s">
        <v>93</v>
      </c>
      <c r="P191">
        <v>999</v>
      </c>
      <c r="Q191" s="1" t="s">
        <v>94</v>
      </c>
      <c r="R191" s="12">
        <v>46129</v>
      </c>
      <c r="S191" s="12">
        <v>0</v>
      </c>
      <c r="T191" s="12">
        <v>-3383.68</v>
      </c>
      <c r="U191" s="12">
        <v>-2.4500000000000002</v>
      </c>
      <c r="V191" s="12">
        <v>-2.4500000000000002</v>
      </c>
      <c r="W191" s="12">
        <v>0</v>
      </c>
      <c r="X191">
        <v>0.02</v>
      </c>
      <c r="Y191" t="str">
        <f t="shared" si="4"/>
        <v>Sit.Normal</v>
      </c>
      <c r="Z191">
        <f t="shared" si="5"/>
        <v>1</v>
      </c>
      <c r="AB191">
        <f>VLOOKUP(A191,rubros_a_considerar!$A$2:$A$13,1,FALSE)</f>
        <v>135742001</v>
      </c>
      <c r="AO191" t="str">
        <f>IFERROR(VLOOKUP(A191,Diccionario!$C$2:$E$65,3,FALSE),"no")</f>
        <v>Tarjetas_de_Crédito</v>
      </c>
    </row>
    <row r="192" spans="1:41" x14ac:dyDescent="0.35">
      <c r="A192">
        <v>131742001</v>
      </c>
      <c r="B192">
        <v>80</v>
      </c>
      <c r="C192">
        <v>14998</v>
      </c>
      <c r="D192">
        <v>0</v>
      </c>
      <c r="E192">
        <v>0</v>
      </c>
      <c r="F192" s="1">
        <v>46142</v>
      </c>
      <c r="G192" s="1">
        <v>46142</v>
      </c>
      <c r="H192" s="1">
        <v>36955</v>
      </c>
      <c r="I192">
        <v>0</v>
      </c>
      <c r="J192">
        <v>0</v>
      </c>
      <c r="K192" s="11">
        <v>101.99</v>
      </c>
      <c r="L192">
        <v>0</v>
      </c>
      <c r="M192">
        <v>0</v>
      </c>
      <c r="N192" t="s">
        <v>92</v>
      </c>
      <c r="O192" t="s">
        <v>93</v>
      </c>
      <c r="P192">
        <v>999</v>
      </c>
      <c r="Q192" s="1" t="s">
        <v>94</v>
      </c>
      <c r="R192" s="12">
        <v>36955</v>
      </c>
      <c r="S192" s="12">
        <v>0</v>
      </c>
      <c r="T192" s="12">
        <v>-978720.69</v>
      </c>
      <c r="U192" s="12">
        <v>-708.66</v>
      </c>
      <c r="V192" s="12">
        <v>-978720.69</v>
      </c>
      <c r="W192" s="12">
        <v>0</v>
      </c>
      <c r="X192">
        <v>9787.2099999999991</v>
      </c>
      <c r="Y192" t="str">
        <f t="shared" si="4"/>
        <v>Sit.Normal</v>
      </c>
      <c r="Z192">
        <f t="shared" si="5"/>
        <v>1</v>
      </c>
      <c r="AB192">
        <f>VLOOKUP(A192,rubros_a_considerar!$A$2:$A$13,1,FALSE)</f>
        <v>131742001</v>
      </c>
      <c r="AO192" t="str">
        <f>IFERROR(VLOOKUP(A192,Diccionario!$C$2:$E$65,3,FALSE),"no")</f>
        <v>Tarjetas_de_Crédito</v>
      </c>
    </row>
    <row r="193" spans="1:41" x14ac:dyDescent="0.35">
      <c r="A193">
        <v>131742001</v>
      </c>
      <c r="B193">
        <v>80</v>
      </c>
      <c r="C193">
        <v>17980</v>
      </c>
      <c r="D193">
        <v>0</v>
      </c>
      <c r="E193">
        <v>0</v>
      </c>
      <c r="F193" s="1">
        <v>46142</v>
      </c>
      <c r="G193" s="1">
        <v>46142</v>
      </c>
      <c r="H193" s="1">
        <v>45628</v>
      </c>
      <c r="I193">
        <v>0</v>
      </c>
      <c r="J193">
        <v>0</v>
      </c>
      <c r="K193" s="11">
        <v>101.99</v>
      </c>
      <c r="L193">
        <v>0</v>
      </c>
      <c r="M193">
        <v>0</v>
      </c>
      <c r="N193" t="s">
        <v>92</v>
      </c>
      <c r="O193" t="s">
        <v>93</v>
      </c>
      <c r="P193">
        <v>0</v>
      </c>
      <c r="Q193" s="1" t="s">
        <v>94</v>
      </c>
      <c r="R193" s="12">
        <v>45628</v>
      </c>
      <c r="S193" s="12">
        <v>0</v>
      </c>
      <c r="T193" s="12">
        <v>-144000</v>
      </c>
      <c r="U193" s="12">
        <v>-104.27</v>
      </c>
      <c r="V193" s="12">
        <v>-144000</v>
      </c>
      <c r="W193" s="12">
        <v>0</v>
      </c>
      <c r="X193">
        <v>1440</v>
      </c>
      <c r="Y193" t="str">
        <f t="shared" si="4"/>
        <v>Sit.Normal</v>
      </c>
      <c r="Z193">
        <f t="shared" si="5"/>
        <v>1</v>
      </c>
      <c r="AB193">
        <f>VLOOKUP(A193,rubros_a_considerar!$A$2:$A$13,1,FALSE)</f>
        <v>131742001</v>
      </c>
      <c r="AO193" t="str">
        <f>IFERROR(VLOOKUP(A193,Diccionario!$C$2:$E$65,3,FALSE),"no")</f>
        <v>Tarjetas_de_Crédito</v>
      </c>
    </row>
    <row r="194" spans="1:41" x14ac:dyDescent="0.35">
      <c r="A194">
        <v>131742001</v>
      </c>
      <c r="B194">
        <v>80</v>
      </c>
      <c r="C194">
        <v>19542</v>
      </c>
      <c r="D194">
        <v>0</v>
      </c>
      <c r="E194">
        <v>0</v>
      </c>
      <c r="F194" s="1">
        <v>46142</v>
      </c>
      <c r="G194" s="1">
        <v>46142</v>
      </c>
      <c r="H194" s="1">
        <v>38230</v>
      </c>
      <c r="I194">
        <v>0</v>
      </c>
      <c r="J194">
        <v>0</v>
      </c>
      <c r="K194" s="11">
        <v>101.99</v>
      </c>
      <c r="L194">
        <v>0</v>
      </c>
      <c r="M194">
        <v>0</v>
      </c>
      <c r="N194" t="s">
        <v>92</v>
      </c>
      <c r="O194" t="s">
        <v>93</v>
      </c>
      <c r="P194">
        <v>999</v>
      </c>
      <c r="Q194" s="1" t="s">
        <v>94</v>
      </c>
      <c r="R194" s="12">
        <v>38230</v>
      </c>
      <c r="S194" s="12">
        <v>0</v>
      </c>
      <c r="T194" s="12">
        <v>-1107516.48</v>
      </c>
      <c r="U194" s="12">
        <v>-801.91</v>
      </c>
      <c r="V194" s="12">
        <v>-1107516.48</v>
      </c>
      <c r="W194" s="12">
        <v>0</v>
      </c>
      <c r="X194">
        <v>11075.16</v>
      </c>
      <c r="Y194" t="str">
        <f t="shared" ref="Y194:Y249" si="6">TRIM(O194)</f>
        <v>Sit.Normal</v>
      </c>
      <c r="Z194">
        <f t="shared" ref="Z194:Z257" si="7">IF(Y194="Sit.Normal",1,IF(Y194="Riesgo potencia",2,IF(Y194="Con Problemas",3,IF(Y194="Alto Riesgo",4,IF(Y194="Irrecuperable",5,IF(Y194="Irrec Disp Tecn",6,IF(Y194="Sin identificación",0,"")))))))</f>
        <v>1</v>
      </c>
      <c r="AB194">
        <f>VLOOKUP(A194,rubros_a_considerar!$A$2:$A$13,1,FALSE)</f>
        <v>131742001</v>
      </c>
      <c r="AO194" t="str">
        <f>IFERROR(VLOOKUP(A194,Diccionario!$C$2:$E$65,3,FALSE),"no")</f>
        <v>Tarjetas_de_Crédito</v>
      </c>
    </row>
    <row r="195" spans="1:41" x14ac:dyDescent="0.35">
      <c r="A195">
        <v>131742001</v>
      </c>
      <c r="B195">
        <v>80</v>
      </c>
      <c r="C195">
        <v>53660</v>
      </c>
      <c r="D195">
        <v>0</v>
      </c>
      <c r="E195">
        <v>0</v>
      </c>
      <c r="F195" s="1">
        <v>46142</v>
      </c>
      <c r="G195" s="1">
        <v>46142</v>
      </c>
      <c r="H195" s="1">
        <v>42893</v>
      </c>
      <c r="I195">
        <v>0</v>
      </c>
      <c r="J195">
        <v>0</v>
      </c>
      <c r="K195" s="11">
        <v>101.99</v>
      </c>
      <c r="L195">
        <v>0</v>
      </c>
      <c r="M195">
        <v>0</v>
      </c>
      <c r="N195" t="s">
        <v>92</v>
      </c>
      <c r="O195" t="s">
        <v>93</v>
      </c>
      <c r="P195">
        <v>999</v>
      </c>
      <c r="Q195" s="1" t="s">
        <v>94</v>
      </c>
      <c r="R195" s="12">
        <v>42893</v>
      </c>
      <c r="S195" s="12">
        <v>0</v>
      </c>
      <c r="T195" s="12">
        <v>-868704.41</v>
      </c>
      <c r="U195" s="12">
        <v>-629</v>
      </c>
      <c r="V195" s="12">
        <v>-868704.41</v>
      </c>
      <c r="W195" s="12">
        <v>0</v>
      </c>
      <c r="X195">
        <v>8687.0400000000009</v>
      </c>
      <c r="Y195" t="str">
        <f t="shared" si="6"/>
        <v>Sit.Normal</v>
      </c>
      <c r="Z195">
        <f t="shared" si="7"/>
        <v>1</v>
      </c>
      <c r="AB195">
        <f>VLOOKUP(A195,rubros_a_considerar!$A$2:$A$13,1,FALSE)</f>
        <v>131742001</v>
      </c>
      <c r="AO195" t="str">
        <f>IFERROR(VLOOKUP(A195,Diccionario!$C$2:$E$65,3,FALSE),"no")</f>
        <v>Tarjetas_de_Crédito</v>
      </c>
    </row>
    <row r="196" spans="1:41" x14ac:dyDescent="0.35">
      <c r="A196">
        <v>131742001</v>
      </c>
      <c r="B196">
        <v>80</v>
      </c>
      <c r="C196">
        <v>54212</v>
      </c>
      <c r="D196">
        <v>0</v>
      </c>
      <c r="E196">
        <v>0</v>
      </c>
      <c r="F196" s="1">
        <v>46142</v>
      </c>
      <c r="G196" s="1">
        <v>46142</v>
      </c>
      <c r="H196" s="1">
        <v>45971</v>
      </c>
      <c r="I196">
        <v>0</v>
      </c>
      <c r="J196">
        <v>0</v>
      </c>
      <c r="K196" s="11">
        <v>101.99</v>
      </c>
      <c r="L196">
        <v>0</v>
      </c>
      <c r="M196">
        <v>0</v>
      </c>
      <c r="N196" t="s">
        <v>92</v>
      </c>
      <c r="O196" t="s">
        <v>93</v>
      </c>
      <c r="P196">
        <v>466</v>
      </c>
      <c r="Q196" s="1" t="s">
        <v>94</v>
      </c>
      <c r="R196" s="12">
        <v>45971</v>
      </c>
      <c r="S196" s="12">
        <v>0</v>
      </c>
      <c r="T196" s="12">
        <v>66508.479999999996</v>
      </c>
      <c r="U196" s="12">
        <v>48.16</v>
      </c>
      <c r="V196" s="12">
        <v>66508.479999999996</v>
      </c>
      <c r="W196" s="12">
        <v>0</v>
      </c>
      <c r="X196" s="11">
        <v>0</v>
      </c>
      <c r="Y196" t="str">
        <f t="shared" si="6"/>
        <v>Sit.Normal</v>
      </c>
      <c r="Z196">
        <f t="shared" si="7"/>
        <v>1</v>
      </c>
      <c r="AB196">
        <f>VLOOKUP(A196,rubros_a_considerar!$A$2:$A$13,1,FALSE)</f>
        <v>131742001</v>
      </c>
      <c r="AO196" t="str">
        <f>IFERROR(VLOOKUP(A196,Diccionario!$C$2:$E$65,3,FALSE),"no")</f>
        <v>Tarjetas_de_Crédito</v>
      </c>
    </row>
    <row r="197" spans="1:41" x14ac:dyDescent="0.35">
      <c r="A197">
        <v>131742001</v>
      </c>
      <c r="B197">
        <v>80</v>
      </c>
      <c r="C197">
        <v>54311</v>
      </c>
      <c r="D197">
        <v>0</v>
      </c>
      <c r="E197">
        <v>0</v>
      </c>
      <c r="F197" s="1">
        <v>46142</v>
      </c>
      <c r="G197" s="1">
        <v>46142</v>
      </c>
      <c r="H197" s="1">
        <v>36728</v>
      </c>
      <c r="I197">
        <v>0</v>
      </c>
      <c r="J197">
        <v>0</v>
      </c>
      <c r="K197" s="11">
        <v>101.99</v>
      </c>
      <c r="L197">
        <v>0</v>
      </c>
      <c r="M197">
        <v>0</v>
      </c>
      <c r="N197" t="s">
        <v>92</v>
      </c>
      <c r="O197" t="s">
        <v>93</v>
      </c>
      <c r="P197">
        <v>999</v>
      </c>
      <c r="Q197" s="1" t="s">
        <v>94</v>
      </c>
      <c r="R197" s="12">
        <v>36728</v>
      </c>
      <c r="S197" s="12">
        <v>0</v>
      </c>
      <c r="T197" s="12">
        <v>-653915.66</v>
      </c>
      <c r="U197" s="12">
        <v>-473.48</v>
      </c>
      <c r="V197" s="12">
        <v>-653915.66</v>
      </c>
      <c r="W197" s="12">
        <v>0</v>
      </c>
      <c r="X197">
        <v>6539.16</v>
      </c>
      <c r="Y197" t="str">
        <f t="shared" si="6"/>
        <v>Sit.Normal</v>
      </c>
      <c r="Z197">
        <f t="shared" si="7"/>
        <v>1</v>
      </c>
      <c r="AB197">
        <f>VLOOKUP(A197,rubros_a_considerar!$A$2:$A$13,1,FALSE)</f>
        <v>131742001</v>
      </c>
      <c r="AO197" t="str">
        <f>IFERROR(VLOOKUP(A197,Diccionario!$C$2:$E$65,3,FALSE),"no")</f>
        <v>Tarjetas_de_Crédito</v>
      </c>
    </row>
    <row r="198" spans="1:41" x14ac:dyDescent="0.35">
      <c r="A198">
        <v>131742001</v>
      </c>
      <c r="B198">
        <v>80</v>
      </c>
      <c r="C198">
        <v>54512</v>
      </c>
      <c r="D198">
        <v>0</v>
      </c>
      <c r="E198">
        <v>0</v>
      </c>
      <c r="F198" s="1">
        <v>46142</v>
      </c>
      <c r="G198" s="1">
        <v>46142</v>
      </c>
      <c r="H198" s="1">
        <v>45845</v>
      </c>
      <c r="I198">
        <v>0</v>
      </c>
      <c r="J198">
        <v>0</v>
      </c>
      <c r="K198" s="11">
        <v>101.99</v>
      </c>
      <c r="L198">
        <v>0</v>
      </c>
      <c r="M198">
        <v>0</v>
      </c>
      <c r="N198" t="s">
        <v>92</v>
      </c>
      <c r="O198" t="s">
        <v>93</v>
      </c>
      <c r="P198">
        <v>999</v>
      </c>
      <c r="Q198" s="1" t="s">
        <v>94</v>
      </c>
      <c r="R198" s="12">
        <v>45845</v>
      </c>
      <c r="S198" s="12">
        <v>0</v>
      </c>
      <c r="T198" s="12">
        <v>0.03</v>
      </c>
      <c r="U198" s="12">
        <v>0</v>
      </c>
      <c r="V198" s="12">
        <v>0.03</v>
      </c>
      <c r="W198" s="12">
        <v>0</v>
      </c>
      <c r="X198">
        <v>0</v>
      </c>
      <c r="Y198" t="str">
        <f t="shared" si="6"/>
        <v>Sit.Normal</v>
      </c>
      <c r="Z198">
        <f t="shared" si="7"/>
        <v>1</v>
      </c>
      <c r="AB198">
        <f>VLOOKUP(A198,rubros_a_considerar!$A$2:$A$13,1,FALSE)</f>
        <v>131742001</v>
      </c>
      <c r="AO198" t="str">
        <f>IFERROR(VLOOKUP(A198,Diccionario!$C$2:$E$65,3,FALSE),"no")</f>
        <v>Tarjetas_de_Crédito</v>
      </c>
    </row>
    <row r="199" spans="1:41" x14ac:dyDescent="0.35">
      <c r="A199">
        <v>135742001</v>
      </c>
      <c r="B199">
        <v>2</v>
      </c>
      <c r="C199">
        <v>54516</v>
      </c>
      <c r="D199">
        <v>0</v>
      </c>
      <c r="E199">
        <v>0</v>
      </c>
      <c r="F199" s="1">
        <v>46142</v>
      </c>
      <c r="G199" s="1">
        <v>46142</v>
      </c>
      <c r="H199" s="1">
        <v>46126</v>
      </c>
      <c r="I199">
        <v>0</v>
      </c>
      <c r="J199">
        <v>0</v>
      </c>
      <c r="K199" s="11">
        <v>0</v>
      </c>
      <c r="L199">
        <v>0</v>
      </c>
      <c r="M199">
        <v>0</v>
      </c>
      <c r="N199" t="s">
        <v>92</v>
      </c>
      <c r="O199" t="s">
        <v>93</v>
      </c>
      <c r="P199">
        <v>999</v>
      </c>
      <c r="Q199" s="1" t="s">
        <v>94</v>
      </c>
      <c r="R199" s="12">
        <v>46126</v>
      </c>
      <c r="S199" s="12">
        <v>0</v>
      </c>
      <c r="T199" s="12">
        <v>-74109.58</v>
      </c>
      <c r="U199" s="12">
        <v>-53.66</v>
      </c>
      <c r="V199" s="12">
        <v>-53.66</v>
      </c>
      <c r="W199" s="12">
        <v>0</v>
      </c>
      <c r="X199">
        <v>0.54</v>
      </c>
      <c r="Y199" t="str">
        <f t="shared" si="6"/>
        <v>Sit.Normal</v>
      </c>
      <c r="Z199">
        <f t="shared" si="7"/>
        <v>1</v>
      </c>
      <c r="AB199">
        <f>VLOOKUP(A199,rubros_a_considerar!$A$2:$A$13,1,FALSE)</f>
        <v>135742001</v>
      </c>
      <c r="AO199" t="str">
        <f>IFERROR(VLOOKUP(A199,Diccionario!$C$2:$E$65,3,FALSE),"no")</f>
        <v>Tarjetas_de_Crédito</v>
      </c>
    </row>
    <row r="200" spans="1:41" x14ac:dyDescent="0.35">
      <c r="A200">
        <v>131742001</v>
      </c>
      <c r="B200">
        <v>80</v>
      </c>
      <c r="C200">
        <v>54516</v>
      </c>
      <c r="D200">
        <v>0</v>
      </c>
      <c r="E200">
        <v>0</v>
      </c>
      <c r="F200" s="1">
        <v>46142</v>
      </c>
      <c r="G200" s="1">
        <v>46142</v>
      </c>
      <c r="H200" s="1">
        <v>40588</v>
      </c>
      <c r="I200">
        <v>0</v>
      </c>
      <c r="J200">
        <v>0</v>
      </c>
      <c r="K200" s="11">
        <v>101.99</v>
      </c>
      <c r="L200">
        <v>0</v>
      </c>
      <c r="M200">
        <v>0</v>
      </c>
      <c r="N200" t="s">
        <v>92</v>
      </c>
      <c r="O200" t="s">
        <v>93</v>
      </c>
      <c r="P200">
        <v>999</v>
      </c>
      <c r="Q200" s="1" t="s">
        <v>94</v>
      </c>
      <c r="R200" s="12">
        <v>40588</v>
      </c>
      <c r="S200" s="12">
        <v>0</v>
      </c>
      <c r="T200" s="12">
        <v>-1109210.72</v>
      </c>
      <c r="U200" s="12">
        <v>-803.14</v>
      </c>
      <c r="V200" s="12">
        <v>-1109210.72</v>
      </c>
      <c r="W200" s="12">
        <v>0</v>
      </c>
      <c r="X200">
        <v>11092.11</v>
      </c>
      <c r="Y200" t="str">
        <f t="shared" si="6"/>
        <v>Sit.Normal</v>
      </c>
      <c r="Z200">
        <f t="shared" si="7"/>
        <v>1</v>
      </c>
      <c r="AB200">
        <f>VLOOKUP(A200,rubros_a_considerar!$A$2:$A$13,1,FALSE)</f>
        <v>131742001</v>
      </c>
      <c r="AO200" t="str">
        <f>IFERROR(VLOOKUP(A200,Diccionario!$C$2:$E$65,3,FALSE),"no")</f>
        <v>Tarjetas_de_Crédito</v>
      </c>
    </row>
    <row r="201" spans="1:41" x14ac:dyDescent="0.35">
      <c r="A201">
        <v>135742001</v>
      </c>
      <c r="B201">
        <v>2</v>
      </c>
      <c r="C201">
        <v>54541</v>
      </c>
      <c r="D201">
        <v>0</v>
      </c>
      <c r="E201">
        <v>0</v>
      </c>
      <c r="F201" s="1">
        <v>46142</v>
      </c>
      <c r="G201" s="1">
        <v>46142</v>
      </c>
      <c r="H201" s="1">
        <v>46107</v>
      </c>
      <c r="I201">
        <v>0</v>
      </c>
      <c r="J201">
        <v>0</v>
      </c>
      <c r="K201" s="11">
        <v>0</v>
      </c>
      <c r="L201">
        <v>0</v>
      </c>
      <c r="M201">
        <v>0</v>
      </c>
      <c r="N201" t="s">
        <v>92</v>
      </c>
      <c r="O201" t="s">
        <v>93</v>
      </c>
      <c r="P201">
        <v>999</v>
      </c>
      <c r="Q201" s="1" t="s">
        <v>94</v>
      </c>
      <c r="R201" s="12">
        <v>46107</v>
      </c>
      <c r="S201" s="12">
        <v>0</v>
      </c>
      <c r="T201" s="12">
        <v>-6173.5</v>
      </c>
      <c r="U201" s="12">
        <v>-4.47</v>
      </c>
      <c r="V201" s="12">
        <v>-4.47</v>
      </c>
      <c r="W201" s="12">
        <v>0</v>
      </c>
      <c r="X201">
        <v>0.04</v>
      </c>
      <c r="Y201" t="str">
        <f t="shared" si="6"/>
        <v>Sit.Normal</v>
      </c>
      <c r="Z201">
        <f t="shared" si="7"/>
        <v>1</v>
      </c>
      <c r="AB201">
        <f>VLOOKUP(A201,rubros_a_considerar!$A$2:$A$13,1,FALSE)</f>
        <v>135742001</v>
      </c>
      <c r="AO201" t="str">
        <f>IFERROR(VLOOKUP(A201,Diccionario!$C$2:$E$65,3,FALSE),"no")</f>
        <v>Tarjetas_de_Crédito</v>
      </c>
    </row>
    <row r="202" spans="1:41" x14ac:dyDescent="0.35">
      <c r="A202">
        <v>131742001</v>
      </c>
      <c r="B202">
        <v>80</v>
      </c>
      <c r="C202">
        <v>54541</v>
      </c>
      <c r="D202">
        <v>0</v>
      </c>
      <c r="E202">
        <v>0</v>
      </c>
      <c r="F202" s="1">
        <v>46142</v>
      </c>
      <c r="G202" s="1">
        <v>46142</v>
      </c>
      <c r="H202" s="1">
        <v>42220</v>
      </c>
      <c r="I202">
        <v>0</v>
      </c>
      <c r="J202">
        <v>0</v>
      </c>
      <c r="K202" s="11">
        <v>101.99</v>
      </c>
      <c r="L202">
        <v>0</v>
      </c>
      <c r="M202">
        <v>0</v>
      </c>
      <c r="N202" t="s">
        <v>92</v>
      </c>
      <c r="O202" t="s">
        <v>93</v>
      </c>
      <c r="P202">
        <v>999</v>
      </c>
      <c r="Q202" s="1" t="s">
        <v>94</v>
      </c>
      <c r="R202" s="12">
        <v>42221</v>
      </c>
      <c r="S202" s="12">
        <v>0</v>
      </c>
      <c r="T202" s="12">
        <v>-1594388.79</v>
      </c>
      <c r="U202" s="12">
        <v>-1154.44</v>
      </c>
      <c r="V202" s="12">
        <v>-1594388.79</v>
      </c>
      <c r="W202" s="12">
        <v>0</v>
      </c>
      <c r="X202">
        <v>15943.89</v>
      </c>
      <c r="Y202" t="str">
        <f t="shared" si="6"/>
        <v>Sit.Normal</v>
      </c>
      <c r="Z202">
        <f t="shared" si="7"/>
        <v>1</v>
      </c>
      <c r="AB202">
        <f>VLOOKUP(A202,rubros_a_considerar!$A$2:$A$13,1,FALSE)</f>
        <v>131742001</v>
      </c>
      <c r="AO202" t="str">
        <f>IFERROR(VLOOKUP(A202,Diccionario!$C$2:$E$65,3,FALSE),"no")</f>
        <v>Tarjetas_de_Crédito</v>
      </c>
    </row>
    <row r="203" spans="1:41" x14ac:dyDescent="0.35">
      <c r="A203">
        <v>131742001</v>
      </c>
      <c r="B203">
        <v>80</v>
      </c>
      <c r="C203">
        <v>54616</v>
      </c>
      <c r="D203">
        <v>0</v>
      </c>
      <c r="E203">
        <v>0</v>
      </c>
      <c r="F203" s="1">
        <v>46142</v>
      </c>
      <c r="G203" s="1">
        <v>46142</v>
      </c>
      <c r="H203" s="1">
        <v>46111</v>
      </c>
      <c r="I203">
        <v>0</v>
      </c>
      <c r="J203">
        <v>0</v>
      </c>
      <c r="K203" s="11">
        <v>101.99</v>
      </c>
      <c r="L203">
        <v>0</v>
      </c>
      <c r="M203">
        <v>0</v>
      </c>
      <c r="N203" t="s">
        <v>92</v>
      </c>
      <c r="O203" t="s">
        <v>93</v>
      </c>
      <c r="P203">
        <v>999</v>
      </c>
      <c r="Q203" s="1" t="s">
        <v>94</v>
      </c>
      <c r="R203" s="12">
        <v>46111</v>
      </c>
      <c r="S203" s="12">
        <v>0</v>
      </c>
      <c r="T203" s="12">
        <v>-66828.36</v>
      </c>
      <c r="U203" s="12">
        <v>-48.39</v>
      </c>
      <c r="V203" s="12">
        <v>-66828.36</v>
      </c>
      <c r="W203" s="12">
        <v>0</v>
      </c>
      <c r="X203">
        <v>668.28</v>
      </c>
      <c r="Y203" t="str">
        <f t="shared" si="6"/>
        <v>Sit.Normal</v>
      </c>
      <c r="Z203">
        <f t="shared" si="7"/>
        <v>1</v>
      </c>
      <c r="AB203">
        <f>VLOOKUP(A203,rubros_a_considerar!$A$2:$A$13,1,FALSE)</f>
        <v>131742001</v>
      </c>
      <c r="AO203" t="str">
        <f>IFERROR(VLOOKUP(A203,Diccionario!$C$2:$E$65,3,FALSE),"no")</f>
        <v>Tarjetas_de_Crédito</v>
      </c>
    </row>
    <row r="204" spans="1:41" x14ac:dyDescent="0.35">
      <c r="A204">
        <v>131742001</v>
      </c>
      <c r="B204">
        <v>80</v>
      </c>
      <c r="C204">
        <v>54718</v>
      </c>
      <c r="D204">
        <v>0</v>
      </c>
      <c r="E204">
        <v>0</v>
      </c>
      <c r="F204" s="1">
        <v>46142</v>
      </c>
      <c r="G204" s="1">
        <v>46142</v>
      </c>
      <c r="H204" s="1">
        <v>38083</v>
      </c>
      <c r="I204">
        <v>0</v>
      </c>
      <c r="J204">
        <v>0</v>
      </c>
      <c r="K204" s="11">
        <v>101.99</v>
      </c>
      <c r="L204">
        <v>0</v>
      </c>
      <c r="M204">
        <v>0</v>
      </c>
      <c r="N204" t="s">
        <v>92</v>
      </c>
      <c r="O204" t="s">
        <v>93</v>
      </c>
      <c r="P204">
        <v>999</v>
      </c>
      <c r="Q204" s="1" t="s">
        <v>94</v>
      </c>
      <c r="R204" s="12">
        <v>38083</v>
      </c>
      <c r="S204" s="12">
        <v>0</v>
      </c>
      <c r="T204" s="12">
        <v>-1816888.74</v>
      </c>
      <c r="U204" s="12">
        <v>-1315.54</v>
      </c>
      <c r="V204" s="12">
        <v>-1816888.74</v>
      </c>
      <c r="W204" s="12">
        <v>0</v>
      </c>
      <c r="X204">
        <v>18168.89</v>
      </c>
      <c r="Y204" t="str">
        <f t="shared" si="6"/>
        <v>Sit.Normal</v>
      </c>
      <c r="Z204">
        <f t="shared" si="7"/>
        <v>1</v>
      </c>
      <c r="AB204">
        <f>VLOOKUP(A204,rubros_a_considerar!$A$2:$A$13,1,FALSE)</f>
        <v>131742001</v>
      </c>
      <c r="AO204" t="str">
        <f>IFERROR(VLOOKUP(A204,Diccionario!$C$2:$E$65,3,FALSE),"no")</f>
        <v>Tarjetas_de_Crédito</v>
      </c>
    </row>
    <row r="205" spans="1:41" x14ac:dyDescent="0.35">
      <c r="A205">
        <v>131742001</v>
      </c>
      <c r="B205">
        <v>80</v>
      </c>
      <c r="C205">
        <v>54857</v>
      </c>
      <c r="D205">
        <v>0</v>
      </c>
      <c r="E205">
        <v>0</v>
      </c>
      <c r="F205" s="1">
        <v>46142</v>
      </c>
      <c r="G205" s="1">
        <v>46142</v>
      </c>
      <c r="H205" s="1">
        <v>40450</v>
      </c>
      <c r="I205">
        <v>0</v>
      </c>
      <c r="J205">
        <v>0</v>
      </c>
      <c r="K205" s="11">
        <v>101.99</v>
      </c>
      <c r="L205">
        <v>0</v>
      </c>
      <c r="M205">
        <v>0</v>
      </c>
      <c r="N205" t="s">
        <v>92</v>
      </c>
      <c r="O205" t="s">
        <v>93</v>
      </c>
      <c r="P205">
        <v>999</v>
      </c>
      <c r="Q205" s="1" t="s">
        <v>94</v>
      </c>
      <c r="R205" s="12">
        <v>40450</v>
      </c>
      <c r="S205" s="12">
        <v>0</v>
      </c>
      <c r="T205" s="12">
        <v>4403.0600000000004</v>
      </c>
      <c r="U205" s="12">
        <v>3.19</v>
      </c>
      <c r="V205" s="12">
        <v>4403.0600000000004</v>
      </c>
      <c r="W205" s="12">
        <v>0</v>
      </c>
      <c r="X205" s="137">
        <v>0</v>
      </c>
      <c r="Y205" t="str">
        <f t="shared" si="6"/>
        <v>Sit.Normal</v>
      </c>
      <c r="Z205">
        <f t="shared" si="7"/>
        <v>1</v>
      </c>
      <c r="AB205">
        <f>VLOOKUP(A205,rubros_a_considerar!$A$2:$A$13,1,FALSE)</f>
        <v>131742001</v>
      </c>
      <c r="AO205" t="str">
        <f>IFERROR(VLOOKUP(A205,Diccionario!$C$2:$E$65,3,FALSE),"no")</f>
        <v>Tarjetas_de_Crédito</v>
      </c>
    </row>
    <row r="206" spans="1:41" ht="15.5" customHeight="1" x14ac:dyDescent="0.35">
      <c r="A206">
        <v>135742001</v>
      </c>
      <c r="B206">
        <v>2</v>
      </c>
      <c r="C206">
        <v>54857</v>
      </c>
      <c r="D206">
        <v>0</v>
      </c>
      <c r="E206">
        <v>0</v>
      </c>
      <c r="F206" s="1">
        <v>46142</v>
      </c>
      <c r="G206" s="1">
        <v>46142</v>
      </c>
      <c r="H206" s="1">
        <v>46100</v>
      </c>
      <c r="I206">
        <v>0</v>
      </c>
      <c r="J206">
        <v>0</v>
      </c>
      <c r="K206" s="11">
        <v>0</v>
      </c>
      <c r="L206">
        <v>0</v>
      </c>
      <c r="M206">
        <v>0</v>
      </c>
      <c r="N206" t="s">
        <v>92</v>
      </c>
      <c r="O206" t="s">
        <v>93</v>
      </c>
      <c r="P206">
        <v>999</v>
      </c>
      <c r="Q206" s="1" t="s">
        <v>94</v>
      </c>
      <c r="R206" s="12">
        <v>46100</v>
      </c>
      <c r="S206" s="12">
        <v>0</v>
      </c>
      <c r="T206" s="12">
        <v>685962.46</v>
      </c>
      <c r="U206" s="12">
        <v>496.68</v>
      </c>
      <c r="V206" s="12">
        <v>496.68</v>
      </c>
      <c r="W206" s="12">
        <v>0</v>
      </c>
      <c r="X206" s="137">
        <v>0</v>
      </c>
      <c r="Y206" t="str">
        <f t="shared" si="6"/>
        <v>Sit.Normal</v>
      </c>
      <c r="Z206">
        <f t="shared" si="7"/>
        <v>1</v>
      </c>
      <c r="AB206">
        <f>VLOOKUP(A206,rubros_a_considerar!$A$2:$A$13,1,FALSE)</f>
        <v>135742001</v>
      </c>
      <c r="AO206" t="str">
        <f>IFERROR(VLOOKUP(A206,Diccionario!$C$2:$E$65,3,FALSE),"no")</f>
        <v>Tarjetas_de_Crédito</v>
      </c>
    </row>
    <row r="207" spans="1:41" x14ac:dyDescent="0.35">
      <c r="A207">
        <v>131742001</v>
      </c>
      <c r="B207">
        <v>80</v>
      </c>
      <c r="C207">
        <v>54864</v>
      </c>
      <c r="D207">
        <v>0</v>
      </c>
      <c r="E207">
        <v>0</v>
      </c>
      <c r="F207" s="1">
        <v>46142</v>
      </c>
      <c r="G207" s="1">
        <v>46142</v>
      </c>
      <c r="H207" s="1">
        <v>40326</v>
      </c>
      <c r="I207">
        <v>0</v>
      </c>
      <c r="J207">
        <v>0</v>
      </c>
      <c r="K207" s="11">
        <v>101.99</v>
      </c>
      <c r="L207">
        <v>0</v>
      </c>
      <c r="M207">
        <v>0</v>
      </c>
      <c r="N207" t="s">
        <v>92</v>
      </c>
      <c r="O207" t="s">
        <v>93</v>
      </c>
      <c r="P207">
        <v>999</v>
      </c>
      <c r="Q207" s="1" t="s">
        <v>94</v>
      </c>
      <c r="R207" s="12">
        <v>40326</v>
      </c>
      <c r="S207" s="12">
        <v>0</v>
      </c>
      <c r="T207" s="12">
        <v>-196584.53</v>
      </c>
      <c r="U207" s="12">
        <v>-142.34</v>
      </c>
      <c r="V207" s="12">
        <v>-196584.53</v>
      </c>
      <c r="W207" s="12">
        <v>0</v>
      </c>
      <c r="X207">
        <v>1965.85</v>
      </c>
      <c r="Y207" t="str">
        <f t="shared" si="6"/>
        <v>Sit.Normal</v>
      </c>
      <c r="Z207">
        <f t="shared" si="7"/>
        <v>1</v>
      </c>
      <c r="AB207">
        <f>VLOOKUP(A207,rubros_a_considerar!$A$2:$A$13,1,FALSE)</f>
        <v>131742001</v>
      </c>
      <c r="AO207" t="str">
        <f>IFERROR(VLOOKUP(A207,Diccionario!$C$2:$E$65,3,FALSE),"no")</f>
        <v>Tarjetas_de_Crédito</v>
      </c>
    </row>
    <row r="208" spans="1:41" x14ac:dyDescent="0.35">
      <c r="A208">
        <v>135742001</v>
      </c>
      <c r="B208">
        <v>2</v>
      </c>
      <c r="C208">
        <v>55026</v>
      </c>
      <c r="D208">
        <v>0</v>
      </c>
      <c r="E208">
        <v>0</v>
      </c>
      <c r="F208" s="1">
        <v>46142</v>
      </c>
      <c r="G208" s="1">
        <v>46142</v>
      </c>
      <c r="H208" s="1">
        <v>44677</v>
      </c>
      <c r="I208">
        <v>0</v>
      </c>
      <c r="J208">
        <v>0</v>
      </c>
      <c r="K208" s="11">
        <v>0</v>
      </c>
      <c r="L208">
        <v>0</v>
      </c>
      <c r="M208">
        <v>0</v>
      </c>
      <c r="N208" t="s">
        <v>92</v>
      </c>
      <c r="O208" t="s">
        <v>93</v>
      </c>
      <c r="P208">
        <v>999</v>
      </c>
      <c r="Q208" s="1" t="s">
        <v>94</v>
      </c>
      <c r="R208" s="12">
        <v>44677</v>
      </c>
      <c r="S208" s="12">
        <v>0</v>
      </c>
      <c r="T208" s="12">
        <v>15385.4</v>
      </c>
      <c r="U208" s="12">
        <v>11.14</v>
      </c>
      <c r="V208" s="12">
        <v>11.14</v>
      </c>
      <c r="W208" s="12">
        <v>0</v>
      </c>
      <c r="X208">
        <v>0</v>
      </c>
      <c r="Y208" t="str">
        <f t="shared" si="6"/>
        <v>Sit.Normal</v>
      </c>
      <c r="Z208">
        <f t="shared" si="7"/>
        <v>1</v>
      </c>
      <c r="AB208">
        <f>VLOOKUP(A208,rubros_a_considerar!$A$2:$A$13,1,FALSE)</f>
        <v>135742001</v>
      </c>
      <c r="AO208" t="str">
        <f>IFERROR(VLOOKUP(A208,Diccionario!$C$2:$E$65,3,FALSE),"no")</f>
        <v>Tarjetas_de_Crédito</v>
      </c>
    </row>
    <row r="209" spans="1:41" x14ac:dyDescent="0.35">
      <c r="A209">
        <v>131742001</v>
      </c>
      <c r="B209">
        <v>80</v>
      </c>
      <c r="C209">
        <v>55026</v>
      </c>
      <c r="D209">
        <v>0</v>
      </c>
      <c r="E209">
        <v>0</v>
      </c>
      <c r="F209" s="1">
        <v>46142</v>
      </c>
      <c r="G209" s="1">
        <v>46142</v>
      </c>
      <c r="H209" s="1">
        <v>39902</v>
      </c>
      <c r="I209">
        <v>0</v>
      </c>
      <c r="J209">
        <v>0</v>
      </c>
      <c r="K209" s="11">
        <v>101.99</v>
      </c>
      <c r="L209">
        <v>0</v>
      </c>
      <c r="M209">
        <v>0</v>
      </c>
      <c r="N209" t="s">
        <v>92</v>
      </c>
      <c r="O209" t="s">
        <v>93</v>
      </c>
      <c r="P209">
        <v>999</v>
      </c>
      <c r="Q209" s="1" t="s">
        <v>94</v>
      </c>
      <c r="R209" s="12">
        <v>39902</v>
      </c>
      <c r="S209" s="12">
        <v>0</v>
      </c>
      <c r="T209" s="12">
        <v>-464049</v>
      </c>
      <c r="U209" s="12">
        <v>-336</v>
      </c>
      <c r="V209" s="12">
        <v>-464049</v>
      </c>
      <c r="W209" s="12">
        <v>0</v>
      </c>
      <c r="X209">
        <v>4640.49</v>
      </c>
      <c r="Y209" t="str">
        <f t="shared" si="6"/>
        <v>Sit.Normal</v>
      </c>
      <c r="Z209">
        <f t="shared" si="7"/>
        <v>1</v>
      </c>
      <c r="AB209">
        <f>VLOOKUP(A209,rubros_a_considerar!$A$2:$A$13,1,FALSE)</f>
        <v>131742001</v>
      </c>
      <c r="AO209" t="str">
        <f>IFERROR(VLOOKUP(A209,Diccionario!$C$2:$E$65,3,FALSE),"no")</f>
        <v>Tarjetas_de_Crédito</v>
      </c>
    </row>
    <row r="210" spans="1:41" x14ac:dyDescent="0.35">
      <c r="A210">
        <v>131742001</v>
      </c>
      <c r="B210">
        <v>80</v>
      </c>
      <c r="C210">
        <v>55127</v>
      </c>
      <c r="D210">
        <v>0</v>
      </c>
      <c r="E210">
        <v>0</v>
      </c>
      <c r="F210" s="1">
        <v>46142</v>
      </c>
      <c r="G210" s="1">
        <v>46142</v>
      </c>
      <c r="H210" s="1">
        <v>45786</v>
      </c>
      <c r="I210">
        <v>0</v>
      </c>
      <c r="J210">
        <v>0</v>
      </c>
      <c r="K210" s="11">
        <v>101.99</v>
      </c>
      <c r="L210">
        <v>0</v>
      </c>
      <c r="M210">
        <v>0</v>
      </c>
      <c r="N210" t="s">
        <v>92</v>
      </c>
      <c r="O210" t="s">
        <v>93</v>
      </c>
      <c r="P210">
        <v>999</v>
      </c>
      <c r="Q210" s="1" t="s">
        <v>94</v>
      </c>
      <c r="R210" s="12">
        <v>45786</v>
      </c>
      <c r="S210" s="12">
        <v>0</v>
      </c>
      <c r="T210" s="12">
        <v>-0.31</v>
      </c>
      <c r="U210" s="12">
        <v>0</v>
      </c>
      <c r="V210" s="12">
        <v>-0.31</v>
      </c>
      <c r="W210" s="12">
        <v>0</v>
      </c>
      <c r="X210">
        <v>0</v>
      </c>
      <c r="Y210" t="str">
        <f t="shared" si="6"/>
        <v>Sit.Normal</v>
      </c>
      <c r="Z210">
        <f t="shared" si="7"/>
        <v>1</v>
      </c>
      <c r="AB210">
        <f>VLOOKUP(A210,rubros_a_considerar!$A$2:$A$13,1,FALSE)</f>
        <v>131742001</v>
      </c>
      <c r="AO210" t="str">
        <f>IFERROR(VLOOKUP(A210,Diccionario!$C$2:$E$65,3,FALSE),"no")</f>
        <v>Tarjetas_de_Crédito</v>
      </c>
    </row>
    <row r="211" spans="1:41" x14ac:dyDescent="0.35">
      <c r="A211">
        <v>135742001</v>
      </c>
      <c r="B211">
        <v>2</v>
      </c>
      <c r="C211">
        <v>58440</v>
      </c>
      <c r="D211">
        <v>0</v>
      </c>
      <c r="E211">
        <v>0</v>
      </c>
      <c r="F211" s="1">
        <v>46142</v>
      </c>
      <c r="G211" s="1">
        <v>46142</v>
      </c>
      <c r="H211" s="1">
        <v>46056</v>
      </c>
      <c r="I211">
        <v>0</v>
      </c>
      <c r="J211">
        <v>0</v>
      </c>
      <c r="K211" s="11">
        <v>0</v>
      </c>
      <c r="L211">
        <v>0</v>
      </c>
      <c r="M211">
        <v>0</v>
      </c>
      <c r="N211" t="s">
        <v>92</v>
      </c>
      <c r="O211" t="s">
        <v>93</v>
      </c>
      <c r="P211">
        <v>999</v>
      </c>
      <c r="Q211" s="1" t="s">
        <v>94</v>
      </c>
      <c r="R211" s="12">
        <v>46056</v>
      </c>
      <c r="S211" s="12">
        <v>0</v>
      </c>
      <c r="T211" s="12">
        <v>-20702.62</v>
      </c>
      <c r="U211" s="12">
        <v>-14.99</v>
      </c>
      <c r="V211" s="12">
        <v>-14.99</v>
      </c>
      <c r="W211" s="12">
        <v>0</v>
      </c>
      <c r="X211">
        <v>0.15</v>
      </c>
      <c r="Y211" t="str">
        <f t="shared" si="6"/>
        <v>Sit.Normal</v>
      </c>
      <c r="Z211">
        <f t="shared" si="7"/>
        <v>1</v>
      </c>
      <c r="AB211">
        <f>VLOOKUP(A211,rubros_a_considerar!$A$2:$A$13,1,FALSE)</f>
        <v>135742001</v>
      </c>
      <c r="AO211" t="str">
        <f>IFERROR(VLOOKUP(A211,Diccionario!$C$2:$E$65,3,FALSE),"no")</f>
        <v>Tarjetas_de_Crédito</v>
      </c>
    </row>
    <row r="212" spans="1:41" x14ac:dyDescent="0.35">
      <c r="A212">
        <v>131742001</v>
      </c>
      <c r="B212">
        <v>80</v>
      </c>
      <c r="C212">
        <v>58440</v>
      </c>
      <c r="D212">
        <v>0</v>
      </c>
      <c r="E212">
        <v>0</v>
      </c>
      <c r="F212" s="1">
        <v>46142</v>
      </c>
      <c r="G212" s="1">
        <v>46142</v>
      </c>
      <c r="H212" s="1">
        <v>38595</v>
      </c>
      <c r="I212">
        <v>0</v>
      </c>
      <c r="J212">
        <v>0</v>
      </c>
      <c r="K212" s="11">
        <v>101.99</v>
      </c>
      <c r="L212">
        <v>0</v>
      </c>
      <c r="M212">
        <v>0</v>
      </c>
      <c r="N212" t="s">
        <v>92</v>
      </c>
      <c r="O212" t="s">
        <v>93</v>
      </c>
      <c r="P212">
        <v>999</v>
      </c>
      <c r="Q212" s="1" t="s">
        <v>94</v>
      </c>
      <c r="R212" s="12">
        <v>38595</v>
      </c>
      <c r="S212" s="12">
        <v>0</v>
      </c>
      <c r="T212" s="12">
        <v>-2187084.3199999998</v>
      </c>
      <c r="U212" s="12">
        <v>-1583.59</v>
      </c>
      <c r="V212" s="12">
        <v>-2187084.3199999998</v>
      </c>
      <c r="W212" s="12">
        <v>0</v>
      </c>
      <c r="X212">
        <v>21870.84</v>
      </c>
      <c r="Y212" t="str">
        <f t="shared" si="6"/>
        <v>Sit.Normal</v>
      </c>
      <c r="Z212">
        <f t="shared" si="7"/>
        <v>1</v>
      </c>
      <c r="AB212">
        <f>VLOOKUP(A212,rubros_a_considerar!$A$2:$A$13,1,FALSE)</f>
        <v>131742001</v>
      </c>
      <c r="AO212" t="str">
        <f>IFERROR(VLOOKUP(A212,Diccionario!$C$2:$E$65,3,FALSE),"no")</f>
        <v>Tarjetas_de_Crédito</v>
      </c>
    </row>
    <row r="213" spans="1:41" x14ac:dyDescent="0.35">
      <c r="A213">
        <v>131742001</v>
      </c>
      <c r="B213">
        <v>80</v>
      </c>
      <c r="C213">
        <v>58781</v>
      </c>
      <c r="D213">
        <v>0</v>
      </c>
      <c r="E213">
        <v>0</v>
      </c>
      <c r="F213" s="1">
        <v>46142</v>
      </c>
      <c r="G213" s="1">
        <v>46142</v>
      </c>
      <c r="H213" s="1">
        <v>46136</v>
      </c>
      <c r="I213">
        <v>0</v>
      </c>
      <c r="J213">
        <v>0</v>
      </c>
      <c r="K213" s="11">
        <v>101.99</v>
      </c>
      <c r="L213">
        <v>0</v>
      </c>
      <c r="M213">
        <v>0</v>
      </c>
      <c r="N213" t="s">
        <v>92</v>
      </c>
      <c r="O213" t="s">
        <v>93</v>
      </c>
      <c r="P213">
        <v>990</v>
      </c>
      <c r="Q213" s="1" t="s">
        <v>95</v>
      </c>
      <c r="R213" s="12">
        <v>46136</v>
      </c>
      <c r="S213" s="12">
        <v>0</v>
      </c>
      <c r="T213" s="12">
        <v>-135183.32999999999</v>
      </c>
      <c r="U213" s="12">
        <v>-97.88</v>
      </c>
      <c r="V213" s="12">
        <v>-135183.32999999999</v>
      </c>
      <c r="W213" s="12">
        <v>0</v>
      </c>
      <c r="X213">
        <v>1351.83</v>
      </c>
      <c r="Y213" t="str">
        <f t="shared" si="6"/>
        <v>Sit.Normal</v>
      </c>
      <c r="Z213">
        <f t="shared" si="7"/>
        <v>1</v>
      </c>
      <c r="AB213">
        <f>VLOOKUP(A213,rubros_a_considerar!$A$2:$A$13,1,FALSE)</f>
        <v>131742001</v>
      </c>
      <c r="AO213" t="str">
        <f>IFERROR(VLOOKUP(A213,Diccionario!$C$2:$E$65,3,FALSE),"no")</f>
        <v>Tarjetas_de_Crédito</v>
      </c>
    </row>
    <row r="214" spans="1:41" x14ac:dyDescent="0.35">
      <c r="A214">
        <v>135742001</v>
      </c>
      <c r="B214">
        <v>2</v>
      </c>
      <c r="C214">
        <v>58781</v>
      </c>
      <c r="D214">
        <v>0</v>
      </c>
      <c r="E214">
        <v>0</v>
      </c>
      <c r="F214" s="1">
        <v>46142</v>
      </c>
      <c r="G214" s="1">
        <v>46142</v>
      </c>
      <c r="H214" s="1">
        <v>46132</v>
      </c>
      <c r="I214">
        <v>0</v>
      </c>
      <c r="J214">
        <v>0</v>
      </c>
      <c r="K214" s="11">
        <v>0</v>
      </c>
      <c r="L214">
        <v>0</v>
      </c>
      <c r="M214">
        <v>0</v>
      </c>
      <c r="N214" t="s">
        <v>92</v>
      </c>
      <c r="O214" t="s">
        <v>93</v>
      </c>
      <c r="P214">
        <v>990</v>
      </c>
      <c r="Q214" s="1" t="s">
        <v>95</v>
      </c>
      <c r="R214" s="12">
        <v>46132</v>
      </c>
      <c r="S214" s="12">
        <v>0</v>
      </c>
      <c r="T214" s="12">
        <v>-234648.11</v>
      </c>
      <c r="U214" s="12">
        <v>-169.9</v>
      </c>
      <c r="V214" s="12">
        <v>-169.9</v>
      </c>
      <c r="W214" s="12">
        <v>0</v>
      </c>
      <c r="X214">
        <v>1.7</v>
      </c>
      <c r="Y214" t="str">
        <f t="shared" si="6"/>
        <v>Sit.Normal</v>
      </c>
      <c r="Z214">
        <f t="shared" si="7"/>
        <v>1</v>
      </c>
      <c r="AB214">
        <f>VLOOKUP(A214,rubros_a_considerar!$A$2:$A$13,1,FALSE)</f>
        <v>135742001</v>
      </c>
      <c r="AO214" t="str">
        <f>IFERROR(VLOOKUP(A214,Diccionario!$C$2:$E$65,3,FALSE),"no")</f>
        <v>Tarjetas_de_Crédito</v>
      </c>
    </row>
    <row r="215" spans="1:41" x14ac:dyDescent="0.35">
      <c r="A215">
        <v>131742001</v>
      </c>
      <c r="B215">
        <v>80</v>
      </c>
      <c r="C215">
        <v>58922</v>
      </c>
      <c r="D215">
        <v>0</v>
      </c>
      <c r="E215">
        <v>0</v>
      </c>
      <c r="F215" s="1">
        <v>46142</v>
      </c>
      <c r="G215" s="1">
        <v>46142</v>
      </c>
      <c r="H215" s="1">
        <v>41670</v>
      </c>
      <c r="I215">
        <v>0</v>
      </c>
      <c r="J215">
        <v>0</v>
      </c>
      <c r="K215" s="11">
        <v>101.99</v>
      </c>
      <c r="L215">
        <v>0</v>
      </c>
      <c r="M215">
        <v>0</v>
      </c>
      <c r="N215" t="s">
        <v>92</v>
      </c>
      <c r="O215" t="s">
        <v>93</v>
      </c>
      <c r="P215">
        <v>999</v>
      </c>
      <c r="Q215" s="1" t="s">
        <v>94</v>
      </c>
      <c r="R215" s="12">
        <v>41673</v>
      </c>
      <c r="S215" s="12">
        <v>0</v>
      </c>
      <c r="T215" s="12">
        <v>-734263.66</v>
      </c>
      <c r="U215" s="12">
        <v>-531.65</v>
      </c>
      <c r="V215" s="12">
        <v>-734263.66</v>
      </c>
      <c r="W215" s="12">
        <v>0</v>
      </c>
      <c r="X215">
        <v>7342.64</v>
      </c>
      <c r="Y215" t="str">
        <f t="shared" si="6"/>
        <v>Sit.Normal</v>
      </c>
      <c r="Z215">
        <f t="shared" si="7"/>
        <v>1</v>
      </c>
      <c r="AB215">
        <f>VLOOKUP(A215,rubros_a_considerar!$A$2:$A$13,1,FALSE)</f>
        <v>131742001</v>
      </c>
      <c r="AO215" t="str">
        <f>IFERROR(VLOOKUP(A215,Diccionario!$C$2:$E$65,3,FALSE),"no")</f>
        <v>Tarjetas_de_Crédito</v>
      </c>
    </row>
    <row r="216" spans="1:41" x14ac:dyDescent="0.35">
      <c r="A216">
        <v>135742001</v>
      </c>
      <c r="B216">
        <v>2</v>
      </c>
      <c r="C216">
        <v>59000</v>
      </c>
      <c r="D216">
        <v>0</v>
      </c>
      <c r="E216">
        <v>0</v>
      </c>
      <c r="F216" s="1">
        <v>46142</v>
      </c>
      <c r="G216" s="1">
        <v>46142</v>
      </c>
      <c r="H216" s="1">
        <v>46056</v>
      </c>
      <c r="I216">
        <v>0</v>
      </c>
      <c r="J216">
        <v>0</v>
      </c>
      <c r="K216" s="11">
        <v>0</v>
      </c>
      <c r="L216">
        <v>0</v>
      </c>
      <c r="M216">
        <v>0</v>
      </c>
      <c r="N216" t="s">
        <v>92</v>
      </c>
      <c r="O216" t="s">
        <v>93</v>
      </c>
      <c r="P216">
        <v>999</v>
      </c>
      <c r="Q216" s="1" t="s">
        <v>94</v>
      </c>
      <c r="R216" s="12">
        <v>46056</v>
      </c>
      <c r="S216" s="12">
        <v>0</v>
      </c>
      <c r="T216" s="12">
        <v>-3148.9</v>
      </c>
      <c r="U216" s="12">
        <v>-2.2799999999999998</v>
      </c>
      <c r="V216" s="12">
        <v>-2.2799999999999998</v>
      </c>
      <c r="W216" s="12">
        <v>0</v>
      </c>
      <c r="X216">
        <v>0.02</v>
      </c>
      <c r="Y216" t="str">
        <f t="shared" si="6"/>
        <v>Sit.Normal</v>
      </c>
      <c r="Z216">
        <f t="shared" si="7"/>
        <v>1</v>
      </c>
      <c r="AB216">
        <f>VLOOKUP(A216,rubros_a_considerar!$A$2:$A$13,1,FALSE)</f>
        <v>135742001</v>
      </c>
      <c r="AO216" t="str">
        <f>IFERROR(VLOOKUP(A216,Diccionario!$C$2:$E$65,3,FALSE),"no")</f>
        <v>Tarjetas_de_Crédito</v>
      </c>
    </row>
    <row r="217" spans="1:41" x14ac:dyDescent="0.35">
      <c r="A217">
        <v>131742001</v>
      </c>
      <c r="B217">
        <v>80</v>
      </c>
      <c r="C217">
        <v>59000</v>
      </c>
      <c r="D217">
        <v>0</v>
      </c>
      <c r="E217">
        <v>0</v>
      </c>
      <c r="F217" s="1">
        <v>46142</v>
      </c>
      <c r="G217" s="1">
        <v>46142</v>
      </c>
      <c r="H217" s="1">
        <v>45763</v>
      </c>
      <c r="I217">
        <v>0</v>
      </c>
      <c r="J217">
        <v>0</v>
      </c>
      <c r="K217" s="11">
        <v>101.99</v>
      </c>
      <c r="L217">
        <v>0</v>
      </c>
      <c r="M217">
        <v>0</v>
      </c>
      <c r="N217" t="s">
        <v>92</v>
      </c>
      <c r="O217" t="s">
        <v>93</v>
      </c>
      <c r="P217">
        <v>999</v>
      </c>
      <c r="Q217" s="1" t="s">
        <v>94</v>
      </c>
      <c r="R217" s="12">
        <v>45763</v>
      </c>
      <c r="S217" s="12">
        <v>0</v>
      </c>
      <c r="T217" s="12">
        <v>-67983.03</v>
      </c>
      <c r="U217" s="12">
        <v>-49.22</v>
      </c>
      <c r="V217" s="12">
        <v>-67983.03</v>
      </c>
      <c r="W217" s="12">
        <v>0</v>
      </c>
      <c r="X217">
        <v>679.83</v>
      </c>
      <c r="Y217" t="str">
        <f t="shared" si="6"/>
        <v>Sit.Normal</v>
      </c>
      <c r="Z217">
        <f t="shared" si="7"/>
        <v>1</v>
      </c>
      <c r="AB217">
        <f>VLOOKUP(A217,rubros_a_considerar!$A$2:$A$13,1,FALSE)</f>
        <v>131742001</v>
      </c>
      <c r="AO217" t="str">
        <f>IFERROR(VLOOKUP(A217,Diccionario!$C$2:$E$65,3,FALSE),"no")</f>
        <v>Tarjetas_de_Crédito</v>
      </c>
    </row>
    <row r="218" spans="1:41" x14ac:dyDescent="0.35">
      <c r="A218">
        <v>135742001</v>
      </c>
      <c r="B218">
        <v>2</v>
      </c>
      <c r="C218">
        <v>59053</v>
      </c>
      <c r="D218">
        <v>0</v>
      </c>
      <c r="E218">
        <v>0</v>
      </c>
      <c r="F218" s="1">
        <v>46142</v>
      </c>
      <c r="G218" s="1">
        <v>46142</v>
      </c>
      <c r="H218" s="1">
        <v>46007</v>
      </c>
      <c r="I218">
        <v>0</v>
      </c>
      <c r="J218">
        <v>0</v>
      </c>
      <c r="K218" s="11">
        <v>0</v>
      </c>
      <c r="L218">
        <v>0</v>
      </c>
      <c r="M218">
        <v>0</v>
      </c>
      <c r="N218" t="s">
        <v>92</v>
      </c>
      <c r="O218" t="s">
        <v>93</v>
      </c>
      <c r="P218">
        <v>999</v>
      </c>
      <c r="Q218" s="1" t="s">
        <v>94</v>
      </c>
      <c r="R218" s="12">
        <v>46007</v>
      </c>
      <c r="S218" s="12">
        <v>0</v>
      </c>
      <c r="T218" s="12">
        <v>-9101.42</v>
      </c>
      <c r="U218" s="12">
        <v>-6.59</v>
      </c>
      <c r="V218" s="12">
        <v>-6.59</v>
      </c>
      <c r="W218" s="12">
        <v>0</v>
      </c>
      <c r="X218">
        <v>7.0000000000000007E-2</v>
      </c>
      <c r="Y218" t="str">
        <f t="shared" si="6"/>
        <v>Sit.Normal</v>
      </c>
      <c r="Z218">
        <f t="shared" si="7"/>
        <v>1</v>
      </c>
      <c r="AB218">
        <f>VLOOKUP(A218,rubros_a_considerar!$A$2:$A$13,1,FALSE)</f>
        <v>135742001</v>
      </c>
      <c r="AO218" t="str">
        <f>IFERROR(VLOOKUP(A218,Diccionario!$C$2:$E$65,3,FALSE),"no")</f>
        <v>Tarjetas_de_Crédito</v>
      </c>
    </row>
    <row r="219" spans="1:41" x14ac:dyDescent="0.35">
      <c r="A219">
        <v>131742001</v>
      </c>
      <c r="B219">
        <v>80</v>
      </c>
      <c r="C219">
        <v>59053</v>
      </c>
      <c r="D219">
        <v>0</v>
      </c>
      <c r="E219">
        <v>0</v>
      </c>
      <c r="F219" s="1">
        <v>46142</v>
      </c>
      <c r="G219" s="1">
        <v>46142</v>
      </c>
      <c r="H219" s="1">
        <v>45520</v>
      </c>
      <c r="I219">
        <v>0</v>
      </c>
      <c r="J219">
        <v>0</v>
      </c>
      <c r="K219" s="11">
        <v>101.99</v>
      </c>
      <c r="L219">
        <v>0</v>
      </c>
      <c r="M219">
        <v>0</v>
      </c>
      <c r="N219" t="s">
        <v>92</v>
      </c>
      <c r="O219" t="s">
        <v>93</v>
      </c>
      <c r="P219">
        <v>999</v>
      </c>
      <c r="Q219" s="1" t="s">
        <v>94</v>
      </c>
      <c r="R219" s="12">
        <v>45520</v>
      </c>
      <c r="S219" s="12">
        <v>0</v>
      </c>
      <c r="T219" s="12">
        <v>-413348.29</v>
      </c>
      <c r="U219" s="12">
        <v>-299.29000000000002</v>
      </c>
      <c r="V219" s="12">
        <v>-413348.29</v>
      </c>
      <c r="W219" s="12">
        <v>0</v>
      </c>
      <c r="X219">
        <v>4133.4799999999996</v>
      </c>
      <c r="Y219" t="str">
        <f t="shared" si="6"/>
        <v>Sit.Normal</v>
      </c>
      <c r="Z219">
        <f t="shared" si="7"/>
        <v>1</v>
      </c>
      <c r="AB219">
        <f>VLOOKUP(A219,rubros_a_considerar!$A$2:$A$13,1,FALSE)</f>
        <v>131742001</v>
      </c>
      <c r="AO219" t="str">
        <f>IFERROR(VLOOKUP(A219,Diccionario!$C$2:$E$65,3,FALSE),"no")</f>
        <v>Tarjetas_de_Crédito</v>
      </c>
    </row>
    <row r="220" spans="1:41" x14ac:dyDescent="0.35">
      <c r="A220">
        <v>135742001</v>
      </c>
      <c r="B220">
        <v>2</v>
      </c>
      <c r="C220">
        <v>59128</v>
      </c>
      <c r="D220">
        <v>0</v>
      </c>
      <c r="E220">
        <v>0</v>
      </c>
      <c r="F220" s="1">
        <v>46142</v>
      </c>
      <c r="G220" s="1">
        <v>46142</v>
      </c>
      <c r="H220" s="1">
        <v>46092</v>
      </c>
      <c r="I220">
        <v>0</v>
      </c>
      <c r="J220">
        <v>0</v>
      </c>
      <c r="K220" s="11">
        <v>0</v>
      </c>
      <c r="L220">
        <v>0</v>
      </c>
      <c r="M220">
        <v>0</v>
      </c>
      <c r="N220" t="s">
        <v>92</v>
      </c>
      <c r="O220" t="s">
        <v>93</v>
      </c>
      <c r="P220">
        <v>999</v>
      </c>
      <c r="Q220" s="1" t="s">
        <v>94</v>
      </c>
      <c r="R220" s="12">
        <v>46092</v>
      </c>
      <c r="S220" s="12">
        <v>0</v>
      </c>
      <c r="T220" s="12">
        <v>-197441.4</v>
      </c>
      <c r="U220" s="12">
        <v>-142.96</v>
      </c>
      <c r="V220" s="12">
        <v>-142.96</v>
      </c>
      <c r="W220" s="12">
        <v>0</v>
      </c>
      <c r="X220">
        <v>1.43</v>
      </c>
      <c r="Y220" t="str">
        <f t="shared" si="6"/>
        <v>Sit.Normal</v>
      </c>
      <c r="Z220">
        <f t="shared" si="7"/>
        <v>1</v>
      </c>
      <c r="AB220">
        <f>VLOOKUP(A220,rubros_a_considerar!$A$2:$A$13,1,FALSE)</f>
        <v>135742001</v>
      </c>
      <c r="AO220" t="str">
        <f>IFERROR(VLOOKUP(A220,Diccionario!$C$2:$E$65,3,FALSE),"no")</f>
        <v>Tarjetas_de_Crédito</v>
      </c>
    </row>
    <row r="221" spans="1:41" x14ac:dyDescent="0.35">
      <c r="A221">
        <v>131742001</v>
      </c>
      <c r="B221">
        <v>80</v>
      </c>
      <c r="C221">
        <v>59128</v>
      </c>
      <c r="D221">
        <v>0</v>
      </c>
      <c r="E221">
        <v>0</v>
      </c>
      <c r="F221" s="1">
        <v>46142</v>
      </c>
      <c r="G221" s="1">
        <v>46142</v>
      </c>
      <c r="H221" s="1">
        <v>39491</v>
      </c>
      <c r="I221">
        <v>0</v>
      </c>
      <c r="J221">
        <v>0</v>
      </c>
      <c r="K221" s="11">
        <v>101.99</v>
      </c>
      <c r="L221">
        <v>0</v>
      </c>
      <c r="M221">
        <v>0</v>
      </c>
      <c r="N221" t="s">
        <v>92</v>
      </c>
      <c r="O221" t="s">
        <v>93</v>
      </c>
      <c r="P221">
        <v>999</v>
      </c>
      <c r="Q221" s="1" t="s">
        <v>94</v>
      </c>
      <c r="R221" s="12">
        <v>39491</v>
      </c>
      <c r="S221" s="12">
        <v>0</v>
      </c>
      <c r="T221" s="12">
        <v>-1124937.23</v>
      </c>
      <c r="U221" s="12">
        <v>-814.53</v>
      </c>
      <c r="V221" s="12">
        <v>-1124937.23</v>
      </c>
      <c r="W221" s="12">
        <v>0</v>
      </c>
      <c r="X221">
        <v>11249.37</v>
      </c>
      <c r="Y221" t="str">
        <f t="shared" si="6"/>
        <v>Sit.Normal</v>
      </c>
      <c r="Z221">
        <f t="shared" si="7"/>
        <v>1</v>
      </c>
      <c r="AB221">
        <f>VLOOKUP(A221,rubros_a_considerar!$A$2:$A$13,1,FALSE)</f>
        <v>131742001</v>
      </c>
      <c r="AO221" t="str">
        <f>IFERROR(VLOOKUP(A221,Diccionario!$C$2:$E$65,3,FALSE),"no")</f>
        <v>Tarjetas_de_Crédito</v>
      </c>
    </row>
    <row r="222" spans="1:41" x14ac:dyDescent="0.35">
      <c r="A222">
        <v>131742001</v>
      </c>
      <c r="B222">
        <v>80</v>
      </c>
      <c r="C222">
        <v>59257</v>
      </c>
      <c r="D222">
        <v>0</v>
      </c>
      <c r="E222">
        <v>0</v>
      </c>
      <c r="F222" s="1">
        <v>46142</v>
      </c>
      <c r="G222" s="1">
        <v>46142</v>
      </c>
      <c r="H222" s="1">
        <v>41607</v>
      </c>
      <c r="I222">
        <v>0</v>
      </c>
      <c r="J222">
        <v>0</v>
      </c>
      <c r="K222" s="11">
        <v>101.99</v>
      </c>
      <c r="L222">
        <v>0</v>
      </c>
      <c r="M222">
        <v>0</v>
      </c>
      <c r="N222" t="s">
        <v>92</v>
      </c>
      <c r="O222" t="s">
        <v>97</v>
      </c>
      <c r="P222">
        <v>999</v>
      </c>
      <c r="Q222" s="1" t="s">
        <v>94</v>
      </c>
      <c r="R222" s="1">
        <v>41610</v>
      </c>
      <c r="S222">
        <v>0</v>
      </c>
      <c r="T222">
        <v>-640507.51</v>
      </c>
      <c r="U222">
        <v>-463.77</v>
      </c>
      <c r="V222">
        <v>-640507.51</v>
      </c>
      <c r="W222">
        <v>0</v>
      </c>
      <c r="X222">
        <v>320253.76</v>
      </c>
      <c r="Y222" t="str">
        <f t="shared" si="6"/>
        <v>Alto Riesgo</v>
      </c>
      <c r="Z222">
        <f t="shared" si="7"/>
        <v>4</v>
      </c>
      <c r="AB222">
        <f>VLOOKUP(A222,rubros_a_considerar!$A$2:$A$13,1,FALSE)</f>
        <v>131742001</v>
      </c>
      <c r="AO222" t="str">
        <f>IFERROR(VLOOKUP(A222,Diccionario!$C$2:$E$65,3,FALSE),"no")</f>
        <v>Tarjetas_de_Crédito</v>
      </c>
    </row>
    <row r="223" spans="1:41" x14ac:dyDescent="0.35">
      <c r="A223">
        <v>135742001</v>
      </c>
      <c r="B223">
        <v>2</v>
      </c>
      <c r="C223">
        <v>59558</v>
      </c>
      <c r="D223">
        <v>0</v>
      </c>
      <c r="E223">
        <v>0</v>
      </c>
      <c r="F223" s="1">
        <v>46142</v>
      </c>
      <c r="G223" s="1">
        <v>46142</v>
      </c>
      <c r="H223" s="1">
        <v>45677</v>
      </c>
      <c r="I223">
        <v>0</v>
      </c>
      <c r="J223">
        <v>0</v>
      </c>
      <c r="K223" s="11">
        <v>0</v>
      </c>
      <c r="L223">
        <v>0</v>
      </c>
      <c r="M223">
        <v>0</v>
      </c>
      <c r="N223" t="s">
        <v>92</v>
      </c>
      <c r="O223" t="s">
        <v>93</v>
      </c>
      <c r="P223">
        <v>999</v>
      </c>
      <c r="Q223" s="1" t="s">
        <v>94</v>
      </c>
      <c r="R223" s="12">
        <v>45677</v>
      </c>
      <c r="S223" s="12">
        <v>0</v>
      </c>
      <c r="T223" s="12">
        <v>-31143.7</v>
      </c>
      <c r="U223" s="12">
        <v>-22.55</v>
      </c>
      <c r="V223" s="12">
        <v>-22.55</v>
      </c>
      <c r="W223" s="12">
        <v>0</v>
      </c>
      <c r="X223">
        <v>0.23</v>
      </c>
      <c r="Y223" t="str">
        <f t="shared" si="6"/>
        <v>Sit.Normal</v>
      </c>
      <c r="Z223">
        <f t="shared" si="7"/>
        <v>1</v>
      </c>
      <c r="AB223">
        <f>VLOOKUP(A223,rubros_a_considerar!$A$2:$A$13,1,FALSE)</f>
        <v>135742001</v>
      </c>
      <c r="AO223" t="str">
        <f>IFERROR(VLOOKUP(A223,Diccionario!$C$2:$E$65,3,FALSE),"no")</f>
        <v>Tarjetas_de_Crédito</v>
      </c>
    </row>
    <row r="224" spans="1:41" x14ac:dyDescent="0.35">
      <c r="A224">
        <v>131742001</v>
      </c>
      <c r="B224">
        <v>80</v>
      </c>
      <c r="C224">
        <v>59558</v>
      </c>
      <c r="D224">
        <v>0</v>
      </c>
      <c r="E224">
        <v>0</v>
      </c>
      <c r="F224" s="1">
        <v>46142</v>
      </c>
      <c r="G224" s="1">
        <v>46142</v>
      </c>
      <c r="H224" s="1">
        <v>41101</v>
      </c>
      <c r="I224">
        <v>0</v>
      </c>
      <c r="J224">
        <v>0</v>
      </c>
      <c r="K224" s="11">
        <v>101.99</v>
      </c>
      <c r="L224">
        <v>0</v>
      </c>
      <c r="M224">
        <v>0</v>
      </c>
      <c r="N224" t="s">
        <v>92</v>
      </c>
      <c r="O224" t="s">
        <v>93</v>
      </c>
      <c r="P224">
        <v>999</v>
      </c>
      <c r="Q224" s="1" t="s">
        <v>94</v>
      </c>
      <c r="R224" s="12">
        <v>41101</v>
      </c>
      <c r="S224" s="12">
        <v>0</v>
      </c>
      <c r="T224" s="12">
        <v>-795273</v>
      </c>
      <c r="U224" s="12">
        <v>-575.83000000000004</v>
      </c>
      <c r="V224" s="12">
        <v>-795273</v>
      </c>
      <c r="W224" s="12">
        <v>0</v>
      </c>
      <c r="X224">
        <v>7952.73</v>
      </c>
      <c r="Y224" t="str">
        <f t="shared" si="6"/>
        <v>Sit.Normal</v>
      </c>
      <c r="Z224">
        <f t="shared" si="7"/>
        <v>1</v>
      </c>
      <c r="AB224">
        <f>VLOOKUP(A224,rubros_a_considerar!$A$2:$A$13,1,FALSE)</f>
        <v>131742001</v>
      </c>
      <c r="AO224" t="str">
        <f>IFERROR(VLOOKUP(A224,Diccionario!$C$2:$E$65,3,FALSE),"no")</f>
        <v>Tarjetas_de_Crédito</v>
      </c>
    </row>
    <row r="225" spans="1:41" x14ac:dyDescent="0.35">
      <c r="A225">
        <v>135742001</v>
      </c>
      <c r="B225">
        <v>2</v>
      </c>
      <c r="C225">
        <v>59750</v>
      </c>
      <c r="D225">
        <v>0</v>
      </c>
      <c r="E225">
        <v>0</v>
      </c>
      <c r="F225" s="1">
        <v>46142</v>
      </c>
      <c r="G225" s="1">
        <v>46142</v>
      </c>
      <c r="H225" s="1">
        <v>42381</v>
      </c>
      <c r="I225">
        <v>0</v>
      </c>
      <c r="J225">
        <v>0</v>
      </c>
      <c r="K225" s="11">
        <v>0</v>
      </c>
      <c r="L225">
        <v>0</v>
      </c>
      <c r="M225">
        <v>0</v>
      </c>
      <c r="N225" t="s">
        <v>92</v>
      </c>
      <c r="O225" t="s">
        <v>93</v>
      </c>
      <c r="P225">
        <v>103</v>
      </c>
      <c r="Q225" s="1" t="s">
        <v>95</v>
      </c>
      <c r="R225" s="12">
        <v>42381</v>
      </c>
      <c r="S225" s="12">
        <v>0</v>
      </c>
      <c r="T225" s="12">
        <v>-670438.94999999995</v>
      </c>
      <c r="U225" s="12">
        <v>-485.44</v>
      </c>
      <c r="V225" s="12">
        <v>-485.44</v>
      </c>
      <c r="W225" s="12">
        <v>0</v>
      </c>
      <c r="X225">
        <v>4.8499999999999996</v>
      </c>
      <c r="Y225" t="str">
        <f t="shared" si="6"/>
        <v>Sit.Normal</v>
      </c>
      <c r="Z225">
        <f t="shared" si="7"/>
        <v>1</v>
      </c>
      <c r="AB225">
        <f>VLOOKUP(A225,rubros_a_considerar!$A$2:$A$13,1,FALSE)</f>
        <v>135742001</v>
      </c>
      <c r="AO225" t="str">
        <f>IFERROR(VLOOKUP(A225,Diccionario!$C$2:$E$65,3,FALSE),"no")</f>
        <v>Tarjetas_de_Crédito</v>
      </c>
    </row>
    <row r="226" spans="1:41" x14ac:dyDescent="0.35">
      <c r="A226">
        <v>131742001</v>
      </c>
      <c r="B226">
        <v>80</v>
      </c>
      <c r="C226">
        <v>59750</v>
      </c>
      <c r="D226">
        <v>0</v>
      </c>
      <c r="E226">
        <v>0</v>
      </c>
      <c r="F226" s="1">
        <v>46142</v>
      </c>
      <c r="G226" s="1">
        <v>46142</v>
      </c>
      <c r="H226" s="1">
        <v>40045</v>
      </c>
      <c r="I226">
        <v>0</v>
      </c>
      <c r="J226">
        <v>0</v>
      </c>
      <c r="K226" s="11">
        <v>101.99</v>
      </c>
      <c r="L226">
        <v>0</v>
      </c>
      <c r="M226">
        <v>0</v>
      </c>
      <c r="N226" t="s">
        <v>92</v>
      </c>
      <c r="O226" t="s">
        <v>93</v>
      </c>
      <c r="P226">
        <v>103</v>
      </c>
      <c r="Q226" s="1" t="s">
        <v>95</v>
      </c>
      <c r="R226" s="12">
        <v>40045</v>
      </c>
      <c r="S226" s="12">
        <v>0</v>
      </c>
      <c r="T226" s="12">
        <v>-6673323.2699999996</v>
      </c>
      <c r="U226" s="12">
        <v>-4831.91</v>
      </c>
      <c r="V226" s="12">
        <v>-6673323.2699999996</v>
      </c>
      <c r="W226" s="12">
        <v>0</v>
      </c>
      <c r="X226">
        <v>66733.23</v>
      </c>
      <c r="Y226" t="str">
        <f t="shared" si="6"/>
        <v>Sit.Normal</v>
      </c>
      <c r="Z226">
        <f t="shared" si="7"/>
        <v>1</v>
      </c>
      <c r="AB226">
        <f>VLOOKUP(A226,rubros_a_considerar!$A$2:$A$13,1,FALSE)</f>
        <v>131742001</v>
      </c>
      <c r="AO226" t="str">
        <f>IFERROR(VLOOKUP(A226,Diccionario!$C$2:$E$65,3,FALSE),"no")</f>
        <v>Tarjetas_de_Crédito</v>
      </c>
    </row>
    <row r="227" spans="1:41" x14ac:dyDescent="0.35">
      <c r="A227">
        <v>131742001</v>
      </c>
      <c r="B227">
        <v>80</v>
      </c>
      <c r="C227">
        <v>59859</v>
      </c>
      <c r="D227">
        <v>0</v>
      </c>
      <c r="E227">
        <v>0</v>
      </c>
      <c r="F227" s="1">
        <v>46142</v>
      </c>
      <c r="G227" s="1">
        <v>46142</v>
      </c>
      <c r="H227" s="1">
        <v>41382</v>
      </c>
      <c r="I227">
        <v>0</v>
      </c>
      <c r="J227">
        <v>0</v>
      </c>
      <c r="K227" s="11">
        <v>101.99</v>
      </c>
      <c r="L227">
        <v>0</v>
      </c>
      <c r="M227">
        <v>0</v>
      </c>
      <c r="N227" t="s">
        <v>92</v>
      </c>
      <c r="O227" t="s">
        <v>93</v>
      </c>
      <c r="P227">
        <v>691</v>
      </c>
      <c r="Q227" s="1" t="s">
        <v>94</v>
      </c>
      <c r="R227" s="12">
        <v>41382</v>
      </c>
      <c r="S227" s="12">
        <v>0</v>
      </c>
      <c r="T227" s="12">
        <v>-91971.35</v>
      </c>
      <c r="U227" s="12">
        <v>-66.59</v>
      </c>
      <c r="V227" s="12">
        <v>-91971.35</v>
      </c>
      <c r="W227" s="12">
        <v>0</v>
      </c>
      <c r="X227">
        <v>919.71</v>
      </c>
      <c r="Y227" t="str">
        <f t="shared" si="6"/>
        <v>Sit.Normal</v>
      </c>
      <c r="Z227">
        <f t="shared" si="7"/>
        <v>1</v>
      </c>
      <c r="AB227">
        <f>VLOOKUP(A227,rubros_a_considerar!$A$2:$A$13,1,FALSE)</f>
        <v>131742001</v>
      </c>
      <c r="AO227" t="str">
        <f>IFERROR(VLOOKUP(A227,Diccionario!$C$2:$E$65,3,FALSE),"no")</f>
        <v>Tarjetas_de_Crédito</v>
      </c>
    </row>
    <row r="228" spans="1:41" x14ac:dyDescent="0.35">
      <c r="A228">
        <v>135742001</v>
      </c>
      <c r="B228">
        <v>2</v>
      </c>
      <c r="C228">
        <v>82141</v>
      </c>
      <c r="D228">
        <v>0</v>
      </c>
      <c r="E228">
        <v>0</v>
      </c>
      <c r="F228" s="1">
        <v>46142</v>
      </c>
      <c r="G228" s="1">
        <v>46142</v>
      </c>
      <c r="H228" s="1">
        <v>45068</v>
      </c>
      <c r="I228">
        <v>0</v>
      </c>
      <c r="J228">
        <v>0</v>
      </c>
      <c r="K228" s="11">
        <v>0</v>
      </c>
      <c r="L228">
        <v>0</v>
      </c>
      <c r="M228">
        <v>0</v>
      </c>
      <c r="N228" t="s">
        <v>92</v>
      </c>
      <c r="O228" t="s">
        <v>93</v>
      </c>
      <c r="P228">
        <v>999</v>
      </c>
      <c r="Q228" s="1" t="s">
        <v>94</v>
      </c>
      <c r="R228" s="12">
        <v>45068</v>
      </c>
      <c r="S228" s="12">
        <v>0</v>
      </c>
      <c r="T228" s="12">
        <v>-36916.68</v>
      </c>
      <c r="U228" s="12">
        <v>-26.73</v>
      </c>
      <c r="V228" s="12">
        <v>-26.73</v>
      </c>
      <c r="W228" s="12">
        <v>0</v>
      </c>
      <c r="X228">
        <v>0.27</v>
      </c>
      <c r="Y228" t="str">
        <f t="shared" si="6"/>
        <v>Sit.Normal</v>
      </c>
      <c r="Z228">
        <f t="shared" si="7"/>
        <v>1</v>
      </c>
      <c r="AB228">
        <f>VLOOKUP(A228,rubros_a_considerar!$A$2:$A$13,1,FALSE)</f>
        <v>135742001</v>
      </c>
      <c r="AO228" t="str">
        <f>IFERROR(VLOOKUP(A228,Diccionario!$C$2:$E$65,3,FALSE),"no")</f>
        <v>Tarjetas_de_Crédito</v>
      </c>
    </row>
    <row r="229" spans="1:41" x14ac:dyDescent="0.35">
      <c r="A229">
        <v>131742001</v>
      </c>
      <c r="B229">
        <v>80</v>
      </c>
      <c r="C229">
        <v>82141</v>
      </c>
      <c r="D229">
        <v>0</v>
      </c>
      <c r="E229">
        <v>0</v>
      </c>
      <c r="F229" s="1">
        <v>46142</v>
      </c>
      <c r="G229" s="1">
        <v>46142</v>
      </c>
      <c r="H229" s="1">
        <v>41453</v>
      </c>
      <c r="I229">
        <v>0</v>
      </c>
      <c r="J229">
        <v>0</v>
      </c>
      <c r="K229" s="11">
        <v>101.99</v>
      </c>
      <c r="L229">
        <v>0</v>
      </c>
      <c r="M229">
        <v>0</v>
      </c>
      <c r="N229" t="s">
        <v>92</v>
      </c>
      <c r="O229" t="s">
        <v>93</v>
      </c>
      <c r="P229">
        <v>999</v>
      </c>
      <c r="Q229" s="1" t="s">
        <v>94</v>
      </c>
      <c r="R229" s="12">
        <v>41453</v>
      </c>
      <c r="S229" s="12">
        <v>0</v>
      </c>
      <c r="T229" s="12">
        <v>-608304.01</v>
      </c>
      <c r="U229" s="12">
        <v>-440.45</v>
      </c>
      <c r="V229" s="12">
        <v>-608304.01</v>
      </c>
      <c r="W229" s="12">
        <v>0</v>
      </c>
      <c r="X229">
        <v>6083.04</v>
      </c>
      <c r="Y229" t="str">
        <f t="shared" si="6"/>
        <v>Sit.Normal</v>
      </c>
      <c r="Z229">
        <f t="shared" si="7"/>
        <v>1</v>
      </c>
      <c r="AB229">
        <f>VLOOKUP(A229,rubros_a_considerar!$A$2:$A$13,1,FALSE)</f>
        <v>131742001</v>
      </c>
      <c r="AO229" t="str">
        <f>IFERROR(VLOOKUP(A229,Diccionario!$C$2:$E$65,3,FALSE),"no")</f>
        <v>Tarjetas_de_Crédito</v>
      </c>
    </row>
    <row r="230" spans="1:41" x14ac:dyDescent="0.35">
      <c r="A230">
        <v>131742001</v>
      </c>
      <c r="B230">
        <v>80</v>
      </c>
      <c r="C230">
        <v>83020</v>
      </c>
      <c r="D230">
        <v>0</v>
      </c>
      <c r="E230">
        <v>0</v>
      </c>
      <c r="F230" s="1">
        <v>46142</v>
      </c>
      <c r="G230" s="1">
        <v>46142</v>
      </c>
      <c r="H230" s="1">
        <v>41789</v>
      </c>
      <c r="I230">
        <v>0</v>
      </c>
      <c r="J230">
        <v>0</v>
      </c>
      <c r="K230" s="11">
        <v>101.99</v>
      </c>
      <c r="L230">
        <v>0</v>
      </c>
      <c r="M230">
        <v>0</v>
      </c>
      <c r="N230" t="s">
        <v>92</v>
      </c>
      <c r="O230" t="s">
        <v>93</v>
      </c>
      <c r="P230">
        <v>990</v>
      </c>
      <c r="Q230" s="1" t="s">
        <v>94</v>
      </c>
      <c r="R230" s="12">
        <v>41792</v>
      </c>
      <c r="S230" s="12">
        <v>0</v>
      </c>
      <c r="T230" s="12">
        <v>-1428613.19</v>
      </c>
      <c r="U230" s="12">
        <v>-1034.4100000000001</v>
      </c>
      <c r="V230" s="12">
        <v>-1428613.19</v>
      </c>
      <c r="W230" s="12">
        <v>0</v>
      </c>
      <c r="X230">
        <v>14286.13</v>
      </c>
      <c r="Y230" t="str">
        <f t="shared" si="6"/>
        <v>Sit.Normal</v>
      </c>
      <c r="Z230">
        <f t="shared" si="7"/>
        <v>1</v>
      </c>
      <c r="AB230">
        <f>VLOOKUP(A230,rubros_a_considerar!$A$2:$A$13,1,FALSE)</f>
        <v>131742001</v>
      </c>
      <c r="AO230" t="str">
        <f>IFERROR(VLOOKUP(A230,Diccionario!$C$2:$E$65,3,FALSE),"no")</f>
        <v>Tarjetas_de_Crédito</v>
      </c>
    </row>
    <row r="231" spans="1:41" x14ac:dyDescent="0.35">
      <c r="A231">
        <v>131742001</v>
      </c>
      <c r="B231">
        <v>80</v>
      </c>
      <c r="C231">
        <v>83452</v>
      </c>
      <c r="D231">
        <v>0</v>
      </c>
      <c r="E231">
        <v>0</v>
      </c>
      <c r="F231" s="1">
        <v>46142</v>
      </c>
      <c r="G231" s="1">
        <v>46142</v>
      </c>
      <c r="H231" s="1">
        <v>41117</v>
      </c>
      <c r="I231">
        <v>0</v>
      </c>
      <c r="J231">
        <v>0</v>
      </c>
      <c r="K231" s="11">
        <v>101.99</v>
      </c>
      <c r="L231">
        <v>0</v>
      </c>
      <c r="M231">
        <v>0</v>
      </c>
      <c r="N231" t="s">
        <v>92</v>
      </c>
      <c r="O231" t="s">
        <v>93</v>
      </c>
      <c r="P231">
        <v>999</v>
      </c>
      <c r="Q231" s="1" t="s">
        <v>94</v>
      </c>
      <c r="R231" s="12">
        <v>41117</v>
      </c>
      <c r="S231" s="12">
        <v>0</v>
      </c>
      <c r="T231" s="12">
        <v>-1013235.51</v>
      </c>
      <c r="U231" s="12">
        <v>-733.65</v>
      </c>
      <c r="V231" s="12">
        <v>-1013235.51</v>
      </c>
      <c r="W231" s="12">
        <v>0</v>
      </c>
      <c r="X231">
        <v>10132.36</v>
      </c>
      <c r="Y231" t="str">
        <f t="shared" si="6"/>
        <v>Sit.Normal</v>
      </c>
      <c r="Z231">
        <f t="shared" si="7"/>
        <v>1</v>
      </c>
      <c r="AB231">
        <f>VLOOKUP(A231,rubros_a_considerar!$A$2:$A$13,1,FALSE)</f>
        <v>131742001</v>
      </c>
      <c r="AO231" t="str">
        <f>IFERROR(VLOOKUP(A231,Diccionario!$C$2:$E$65,3,FALSE),"no")</f>
        <v>Tarjetas_de_Crédito</v>
      </c>
    </row>
    <row r="232" spans="1:41" x14ac:dyDescent="0.35">
      <c r="A232">
        <v>131742001</v>
      </c>
      <c r="B232">
        <v>80</v>
      </c>
      <c r="C232">
        <v>83538</v>
      </c>
      <c r="D232">
        <v>0</v>
      </c>
      <c r="E232">
        <v>0</v>
      </c>
      <c r="F232" s="1">
        <v>46142</v>
      </c>
      <c r="G232" s="1">
        <v>46142</v>
      </c>
      <c r="H232" s="1">
        <v>40939</v>
      </c>
      <c r="I232">
        <v>0</v>
      </c>
      <c r="J232">
        <v>0</v>
      </c>
      <c r="K232" s="11">
        <v>101.99</v>
      </c>
      <c r="L232">
        <v>0</v>
      </c>
      <c r="M232">
        <v>0</v>
      </c>
      <c r="N232" t="s">
        <v>92</v>
      </c>
      <c r="O232" t="s">
        <v>93</v>
      </c>
      <c r="P232">
        <v>999</v>
      </c>
      <c r="Q232" s="1" t="s">
        <v>94</v>
      </c>
      <c r="R232" s="12">
        <v>40939</v>
      </c>
      <c r="S232" s="12">
        <v>0</v>
      </c>
      <c r="T232" s="12">
        <v>-26383.34</v>
      </c>
      <c r="U232" s="12">
        <v>-19.100000000000001</v>
      </c>
      <c r="V232" s="12">
        <v>-26383.34</v>
      </c>
      <c r="W232" s="12">
        <v>0</v>
      </c>
      <c r="X232">
        <v>263.83</v>
      </c>
      <c r="Y232" t="str">
        <f t="shared" si="6"/>
        <v>Sit.Normal</v>
      </c>
      <c r="Z232">
        <f t="shared" si="7"/>
        <v>1</v>
      </c>
      <c r="AB232">
        <f>VLOOKUP(A232,rubros_a_considerar!$A$2:$A$13,1,FALSE)</f>
        <v>131742001</v>
      </c>
      <c r="AO232" t="str">
        <f>IFERROR(VLOOKUP(A232,Diccionario!$C$2:$E$65,3,FALSE),"no")</f>
        <v>Tarjetas_de_Crédito</v>
      </c>
    </row>
    <row r="233" spans="1:41" x14ac:dyDescent="0.35">
      <c r="A233">
        <v>135742001</v>
      </c>
      <c r="B233">
        <v>2</v>
      </c>
      <c r="C233">
        <v>83994</v>
      </c>
      <c r="D233">
        <v>0</v>
      </c>
      <c r="E233">
        <v>0</v>
      </c>
      <c r="F233" s="1">
        <v>46142</v>
      </c>
      <c r="G233" s="1">
        <v>46142</v>
      </c>
      <c r="H233" s="1">
        <v>46056</v>
      </c>
      <c r="I233">
        <v>0</v>
      </c>
      <c r="J233">
        <v>0</v>
      </c>
      <c r="K233" s="11">
        <v>0</v>
      </c>
      <c r="L233">
        <v>0</v>
      </c>
      <c r="M233">
        <v>0</v>
      </c>
      <c r="N233" t="s">
        <v>92</v>
      </c>
      <c r="O233" t="s">
        <v>93</v>
      </c>
      <c r="P233">
        <v>999</v>
      </c>
      <c r="Q233" s="1" t="s">
        <v>94</v>
      </c>
      <c r="R233" s="12">
        <v>46056</v>
      </c>
      <c r="S233" s="12">
        <v>0</v>
      </c>
      <c r="T233" s="12">
        <v>-18354.759999999998</v>
      </c>
      <c r="U233" s="12">
        <v>-13.29</v>
      </c>
      <c r="V233" s="12">
        <v>-13.29</v>
      </c>
      <c r="W233" s="12">
        <v>0</v>
      </c>
      <c r="X233">
        <v>0.13</v>
      </c>
      <c r="Y233" t="str">
        <f t="shared" si="6"/>
        <v>Sit.Normal</v>
      </c>
      <c r="Z233">
        <f t="shared" si="7"/>
        <v>1</v>
      </c>
      <c r="AB233">
        <f>VLOOKUP(A233,rubros_a_considerar!$A$2:$A$13,1,FALSE)</f>
        <v>135742001</v>
      </c>
      <c r="AO233" t="str">
        <f>IFERROR(VLOOKUP(A233,Diccionario!$C$2:$E$65,3,FALSE),"no")</f>
        <v>Tarjetas_de_Crédito</v>
      </c>
    </row>
    <row r="234" spans="1:41" x14ac:dyDescent="0.35">
      <c r="A234">
        <v>131742001</v>
      </c>
      <c r="B234">
        <v>80</v>
      </c>
      <c r="C234">
        <v>83994</v>
      </c>
      <c r="D234">
        <v>0</v>
      </c>
      <c r="E234">
        <v>0</v>
      </c>
      <c r="F234" s="1">
        <v>46142</v>
      </c>
      <c r="G234" s="1">
        <v>46142</v>
      </c>
      <c r="H234" s="1">
        <v>41506</v>
      </c>
      <c r="I234">
        <v>0</v>
      </c>
      <c r="J234">
        <v>0</v>
      </c>
      <c r="K234" s="11">
        <v>101.99</v>
      </c>
      <c r="L234">
        <v>0</v>
      </c>
      <c r="M234">
        <v>0</v>
      </c>
      <c r="N234" t="s">
        <v>92</v>
      </c>
      <c r="O234" t="s">
        <v>93</v>
      </c>
      <c r="P234">
        <v>999</v>
      </c>
      <c r="Q234" s="1" t="s">
        <v>94</v>
      </c>
      <c r="R234" s="12">
        <v>41506</v>
      </c>
      <c r="S234" s="12">
        <v>0</v>
      </c>
      <c r="T234" s="12">
        <v>-1571338.89</v>
      </c>
      <c r="U234" s="12">
        <v>-1137.75</v>
      </c>
      <c r="V234" s="12">
        <v>-1571338.89</v>
      </c>
      <c r="W234" s="12">
        <v>0</v>
      </c>
      <c r="X234">
        <v>15713.39</v>
      </c>
      <c r="Y234" t="str">
        <f t="shared" si="6"/>
        <v>Sit.Normal</v>
      </c>
      <c r="Z234">
        <f t="shared" si="7"/>
        <v>1</v>
      </c>
      <c r="AB234">
        <f>VLOOKUP(A234,rubros_a_considerar!$A$2:$A$13,1,FALSE)</f>
        <v>131742001</v>
      </c>
      <c r="AO234" t="str">
        <f>IFERROR(VLOOKUP(A234,Diccionario!$C$2:$E$65,3,FALSE),"no")</f>
        <v>Tarjetas_de_Crédito</v>
      </c>
    </row>
    <row r="235" spans="1:41" x14ac:dyDescent="0.35">
      <c r="A235">
        <v>135742001</v>
      </c>
      <c r="B235">
        <v>2</v>
      </c>
      <c r="C235">
        <v>84164</v>
      </c>
      <c r="D235">
        <v>0</v>
      </c>
      <c r="E235">
        <v>0</v>
      </c>
      <c r="F235" s="1">
        <v>46142</v>
      </c>
      <c r="G235" s="1">
        <v>46142</v>
      </c>
      <c r="H235" s="1">
        <v>46006</v>
      </c>
      <c r="I235">
        <v>0</v>
      </c>
      <c r="J235">
        <v>0</v>
      </c>
      <c r="K235" s="11">
        <v>0</v>
      </c>
      <c r="L235">
        <v>0</v>
      </c>
      <c r="M235">
        <v>0</v>
      </c>
      <c r="N235" t="s">
        <v>92</v>
      </c>
      <c r="O235" t="s">
        <v>93</v>
      </c>
      <c r="P235">
        <v>999</v>
      </c>
      <c r="Q235" s="1" t="s">
        <v>94</v>
      </c>
      <c r="R235" s="12">
        <v>46006</v>
      </c>
      <c r="S235" s="12">
        <v>0</v>
      </c>
      <c r="T235" s="12">
        <v>13.81</v>
      </c>
      <c r="U235" s="12">
        <v>0.01</v>
      </c>
      <c r="V235" s="12">
        <v>0.01</v>
      </c>
      <c r="W235" s="12">
        <v>0</v>
      </c>
      <c r="X235">
        <v>0</v>
      </c>
      <c r="Y235" t="str">
        <f t="shared" si="6"/>
        <v>Sit.Normal</v>
      </c>
      <c r="Z235">
        <f t="shared" si="7"/>
        <v>1</v>
      </c>
      <c r="AB235">
        <f>VLOOKUP(A235,rubros_a_considerar!$A$2:$A$13,1,FALSE)</f>
        <v>135742001</v>
      </c>
      <c r="AO235" t="str">
        <f>IFERROR(VLOOKUP(A235,Diccionario!$C$2:$E$65,3,FALSE),"no")</f>
        <v>Tarjetas_de_Crédito</v>
      </c>
    </row>
    <row r="236" spans="1:41" x14ac:dyDescent="0.35">
      <c r="A236">
        <v>131742001</v>
      </c>
      <c r="B236">
        <v>80</v>
      </c>
      <c r="C236">
        <v>84164</v>
      </c>
      <c r="D236">
        <v>0</v>
      </c>
      <c r="E236">
        <v>0</v>
      </c>
      <c r="F236" s="1">
        <v>46142</v>
      </c>
      <c r="G236" s="1">
        <v>46142</v>
      </c>
      <c r="H236" s="1">
        <v>46029</v>
      </c>
      <c r="I236">
        <v>0</v>
      </c>
      <c r="J236">
        <v>0</v>
      </c>
      <c r="K236" s="11">
        <v>101.99</v>
      </c>
      <c r="L236">
        <v>0</v>
      </c>
      <c r="M236">
        <v>0</v>
      </c>
      <c r="N236" t="s">
        <v>92</v>
      </c>
      <c r="O236" t="s">
        <v>93</v>
      </c>
      <c r="P236">
        <v>999</v>
      </c>
      <c r="Q236" s="1" t="s">
        <v>94</v>
      </c>
      <c r="R236" s="12">
        <v>46029</v>
      </c>
      <c r="S236" s="12">
        <v>0</v>
      </c>
      <c r="T236" s="12">
        <v>-25014.26</v>
      </c>
      <c r="U236" s="12">
        <v>-18.11</v>
      </c>
      <c r="V236" s="12">
        <v>-25014.26</v>
      </c>
      <c r="W236" s="12">
        <v>0</v>
      </c>
      <c r="X236">
        <v>250.14</v>
      </c>
      <c r="Y236" t="str">
        <f t="shared" si="6"/>
        <v>Sit.Normal</v>
      </c>
      <c r="Z236">
        <f t="shared" si="7"/>
        <v>1</v>
      </c>
      <c r="AB236">
        <f>VLOOKUP(A236,rubros_a_considerar!$A$2:$A$13,1,FALSE)</f>
        <v>131742001</v>
      </c>
      <c r="AO236" t="str">
        <f>IFERROR(VLOOKUP(A236,Diccionario!$C$2:$E$65,3,FALSE),"no")</f>
        <v>Tarjetas_de_Crédito</v>
      </c>
    </row>
    <row r="237" spans="1:41" x14ac:dyDescent="0.35">
      <c r="A237">
        <v>131742001</v>
      </c>
      <c r="B237">
        <v>80</v>
      </c>
      <c r="C237">
        <v>84446</v>
      </c>
      <c r="D237">
        <v>0</v>
      </c>
      <c r="E237">
        <v>0</v>
      </c>
      <c r="F237" s="1">
        <v>46142</v>
      </c>
      <c r="G237" s="1">
        <v>46142</v>
      </c>
      <c r="H237" s="1">
        <v>42262</v>
      </c>
      <c r="I237">
        <v>0</v>
      </c>
      <c r="J237">
        <v>0</v>
      </c>
      <c r="K237" s="11">
        <v>101.99</v>
      </c>
      <c r="L237">
        <v>0</v>
      </c>
      <c r="M237">
        <v>0</v>
      </c>
      <c r="N237" t="s">
        <v>92</v>
      </c>
      <c r="O237" t="s">
        <v>93</v>
      </c>
      <c r="P237">
        <v>999</v>
      </c>
      <c r="Q237" s="1" t="s">
        <v>94</v>
      </c>
      <c r="R237" s="12">
        <v>42262</v>
      </c>
      <c r="S237" s="12">
        <v>0</v>
      </c>
      <c r="T237" s="12">
        <v>-1026649.14</v>
      </c>
      <c r="U237" s="12">
        <v>-743.36</v>
      </c>
      <c r="V237" s="12">
        <v>-1026649.14</v>
      </c>
      <c r="W237" s="12">
        <v>0</v>
      </c>
      <c r="X237">
        <v>10266.49</v>
      </c>
      <c r="Y237" t="str">
        <f t="shared" si="6"/>
        <v>Sit.Normal</v>
      </c>
      <c r="Z237">
        <f t="shared" si="7"/>
        <v>1</v>
      </c>
      <c r="AB237">
        <f>VLOOKUP(A237,rubros_a_considerar!$A$2:$A$13,1,FALSE)</f>
        <v>131742001</v>
      </c>
      <c r="AO237" t="str">
        <f>IFERROR(VLOOKUP(A237,Diccionario!$C$2:$E$65,3,FALSE),"no")</f>
        <v>Tarjetas_de_Crédito</v>
      </c>
    </row>
    <row r="238" spans="1:41" x14ac:dyDescent="0.35">
      <c r="A238">
        <v>131742001</v>
      </c>
      <c r="B238">
        <v>80</v>
      </c>
      <c r="C238">
        <v>85391</v>
      </c>
      <c r="D238">
        <v>0</v>
      </c>
      <c r="E238">
        <v>0</v>
      </c>
      <c r="F238" s="1">
        <v>46142</v>
      </c>
      <c r="G238" s="1">
        <v>46142</v>
      </c>
      <c r="H238" s="1">
        <v>43011</v>
      </c>
      <c r="I238">
        <v>0</v>
      </c>
      <c r="J238">
        <v>0</v>
      </c>
      <c r="K238" s="11">
        <v>101.99</v>
      </c>
      <c r="L238">
        <v>0</v>
      </c>
      <c r="M238">
        <v>0</v>
      </c>
      <c r="N238" t="s">
        <v>92</v>
      </c>
      <c r="O238" t="s">
        <v>93</v>
      </c>
      <c r="P238">
        <v>999</v>
      </c>
      <c r="Q238" s="1" t="s">
        <v>94</v>
      </c>
      <c r="R238" s="12">
        <v>43011</v>
      </c>
      <c r="S238" s="12">
        <v>0</v>
      </c>
      <c r="T238" s="12">
        <v>-1194237.3600000001</v>
      </c>
      <c r="U238" s="12">
        <v>-864.7</v>
      </c>
      <c r="V238" s="12">
        <v>-1194237.3600000001</v>
      </c>
      <c r="W238" s="12">
        <v>0</v>
      </c>
      <c r="X238">
        <v>11942.37</v>
      </c>
      <c r="Y238" t="str">
        <f t="shared" si="6"/>
        <v>Sit.Normal</v>
      </c>
      <c r="Z238">
        <f t="shared" si="7"/>
        <v>1</v>
      </c>
      <c r="AB238">
        <f>VLOOKUP(A238,rubros_a_considerar!$A$2:$A$13,1,FALSE)</f>
        <v>131742001</v>
      </c>
      <c r="AO238" t="str">
        <f>IFERROR(VLOOKUP(A238,Diccionario!$C$2:$E$65,3,FALSE),"no")</f>
        <v>Tarjetas_de_Crédito</v>
      </c>
    </row>
    <row r="239" spans="1:41" x14ac:dyDescent="0.35">
      <c r="A239">
        <v>135742001</v>
      </c>
      <c r="B239">
        <v>2</v>
      </c>
      <c r="C239">
        <v>85455</v>
      </c>
      <c r="D239">
        <v>0</v>
      </c>
      <c r="E239">
        <v>0</v>
      </c>
      <c r="F239" s="1">
        <v>46142</v>
      </c>
      <c r="G239" s="1">
        <v>46142</v>
      </c>
      <c r="H239" s="1">
        <v>45989</v>
      </c>
      <c r="I239">
        <v>0</v>
      </c>
      <c r="J239">
        <v>0</v>
      </c>
      <c r="K239" s="11">
        <v>0</v>
      </c>
      <c r="L239">
        <v>0</v>
      </c>
      <c r="M239">
        <v>0</v>
      </c>
      <c r="N239" t="s">
        <v>92</v>
      </c>
      <c r="O239" t="s">
        <v>93</v>
      </c>
      <c r="P239">
        <v>620</v>
      </c>
      <c r="Q239" s="1" t="s">
        <v>95</v>
      </c>
      <c r="R239" s="12">
        <v>45989</v>
      </c>
      <c r="S239" s="12">
        <v>0</v>
      </c>
      <c r="T239" s="12">
        <v>-62149.29</v>
      </c>
      <c r="U239" s="12">
        <v>-45</v>
      </c>
      <c r="V239" s="12">
        <v>-45</v>
      </c>
      <c r="W239" s="12">
        <v>0</v>
      </c>
      <c r="X239">
        <v>0.45</v>
      </c>
      <c r="Y239" t="str">
        <f t="shared" si="6"/>
        <v>Sit.Normal</v>
      </c>
      <c r="Z239">
        <f t="shared" si="7"/>
        <v>1</v>
      </c>
      <c r="AB239">
        <f>VLOOKUP(A239,rubros_a_considerar!$A$2:$A$13,1,FALSE)</f>
        <v>135742001</v>
      </c>
      <c r="AO239" t="str">
        <f>IFERROR(VLOOKUP(A239,Diccionario!$C$2:$E$65,3,FALSE),"no")</f>
        <v>Tarjetas_de_Crédito</v>
      </c>
    </row>
    <row r="240" spans="1:41" x14ac:dyDescent="0.35">
      <c r="A240">
        <v>131742001</v>
      </c>
      <c r="B240">
        <v>80</v>
      </c>
      <c r="C240">
        <v>85455</v>
      </c>
      <c r="D240">
        <v>0</v>
      </c>
      <c r="E240">
        <v>0</v>
      </c>
      <c r="F240" s="1">
        <v>46142</v>
      </c>
      <c r="G240" s="1">
        <v>46142</v>
      </c>
      <c r="H240" s="1">
        <v>45989</v>
      </c>
      <c r="I240">
        <v>0</v>
      </c>
      <c r="J240">
        <v>0</v>
      </c>
      <c r="K240" s="11">
        <v>101.99</v>
      </c>
      <c r="L240">
        <v>0</v>
      </c>
      <c r="M240">
        <v>0</v>
      </c>
      <c r="N240" t="s">
        <v>92</v>
      </c>
      <c r="O240" t="s">
        <v>93</v>
      </c>
      <c r="P240">
        <v>620</v>
      </c>
      <c r="Q240" s="1" t="s">
        <v>95</v>
      </c>
      <c r="R240" s="12">
        <v>45989</v>
      </c>
      <c r="S240" s="12">
        <v>0</v>
      </c>
      <c r="T240" s="12">
        <v>636517.09</v>
      </c>
      <c r="U240" s="12">
        <v>460.88</v>
      </c>
      <c r="V240" s="12">
        <v>636517.09</v>
      </c>
      <c r="W240" s="12">
        <v>0</v>
      </c>
      <c r="X240">
        <v>0</v>
      </c>
      <c r="Y240" t="str">
        <f t="shared" si="6"/>
        <v>Sit.Normal</v>
      </c>
      <c r="Z240">
        <f t="shared" si="7"/>
        <v>1</v>
      </c>
      <c r="AB240">
        <f>VLOOKUP(A240,rubros_a_considerar!$A$2:$A$13,1,FALSE)</f>
        <v>131742001</v>
      </c>
      <c r="AO240" t="str">
        <f>IFERROR(VLOOKUP(A240,Diccionario!$C$2:$E$65,3,FALSE),"no")</f>
        <v>Tarjetas_de_Crédito</v>
      </c>
    </row>
    <row r="241" spans="1:41" x14ac:dyDescent="0.35">
      <c r="A241">
        <v>131742001</v>
      </c>
      <c r="B241">
        <v>80</v>
      </c>
      <c r="C241">
        <v>85773</v>
      </c>
      <c r="D241">
        <v>0</v>
      </c>
      <c r="E241">
        <v>0</v>
      </c>
      <c r="F241" s="1">
        <v>46142</v>
      </c>
      <c r="G241" s="1">
        <v>46142</v>
      </c>
      <c r="H241" s="1">
        <v>43186</v>
      </c>
      <c r="I241">
        <v>0</v>
      </c>
      <c r="J241">
        <v>0</v>
      </c>
      <c r="K241" s="11">
        <v>101.99</v>
      </c>
      <c r="L241">
        <v>0</v>
      </c>
      <c r="M241">
        <v>0</v>
      </c>
      <c r="N241" t="s">
        <v>92</v>
      </c>
      <c r="O241" t="s">
        <v>93</v>
      </c>
      <c r="P241">
        <v>999</v>
      </c>
      <c r="Q241" s="1" t="s">
        <v>94</v>
      </c>
      <c r="R241" s="12">
        <v>43186</v>
      </c>
      <c r="S241" s="12">
        <v>0</v>
      </c>
      <c r="T241" s="12">
        <v>-196446.23</v>
      </c>
      <c r="U241" s="12">
        <v>-142.24</v>
      </c>
      <c r="V241" s="12">
        <v>-196446.23</v>
      </c>
      <c r="W241" s="12">
        <v>0</v>
      </c>
      <c r="X241">
        <v>1964.46</v>
      </c>
      <c r="Y241" t="str">
        <f t="shared" si="6"/>
        <v>Sit.Normal</v>
      </c>
      <c r="Z241">
        <f t="shared" si="7"/>
        <v>1</v>
      </c>
      <c r="AB241">
        <f>VLOOKUP(A241,rubros_a_considerar!$A$2:$A$13,1,FALSE)</f>
        <v>131742001</v>
      </c>
      <c r="AO241" t="str">
        <f>IFERROR(VLOOKUP(A241,Diccionario!$C$2:$E$65,3,FALSE),"no")</f>
        <v>Tarjetas_de_Crédito</v>
      </c>
    </row>
    <row r="242" spans="1:41" x14ac:dyDescent="0.35">
      <c r="A242">
        <v>131742001</v>
      </c>
      <c r="B242">
        <v>80</v>
      </c>
      <c r="C242">
        <v>86107</v>
      </c>
      <c r="D242">
        <v>0</v>
      </c>
      <c r="E242">
        <v>0</v>
      </c>
      <c r="F242" s="1">
        <v>46142</v>
      </c>
      <c r="G242" s="1">
        <v>46142</v>
      </c>
      <c r="H242" s="1">
        <v>44881</v>
      </c>
      <c r="I242">
        <v>0</v>
      </c>
      <c r="J242">
        <v>0</v>
      </c>
      <c r="K242" s="11">
        <v>101.99</v>
      </c>
      <c r="L242">
        <v>0</v>
      </c>
      <c r="M242">
        <v>0</v>
      </c>
      <c r="N242" t="s">
        <v>92</v>
      </c>
      <c r="O242" t="s">
        <v>93</v>
      </c>
      <c r="P242">
        <v>999</v>
      </c>
      <c r="Q242" s="1" t="s">
        <v>94</v>
      </c>
      <c r="R242" s="12">
        <v>44881</v>
      </c>
      <c r="S242" s="12">
        <v>0</v>
      </c>
      <c r="T242" s="12">
        <v>-844124.31</v>
      </c>
      <c r="U242" s="12">
        <v>-611.20000000000005</v>
      </c>
      <c r="V242" s="12">
        <v>-844124.31</v>
      </c>
      <c r="W242" s="12">
        <v>0</v>
      </c>
      <c r="X242">
        <v>8441.24</v>
      </c>
      <c r="Y242" t="str">
        <f t="shared" si="6"/>
        <v>Sit.Normal</v>
      </c>
      <c r="Z242">
        <f t="shared" si="7"/>
        <v>1</v>
      </c>
      <c r="AB242">
        <f>VLOOKUP(A242,rubros_a_considerar!$A$2:$A$13,1,FALSE)</f>
        <v>131742001</v>
      </c>
      <c r="AO242" t="str">
        <f>IFERROR(VLOOKUP(A242,Diccionario!$C$2:$E$65,3,FALSE),"no")</f>
        <v>Tarjetas_de_Crédito</v>
      </c>
    </row>
    <row r="243" spans="1:41" x14ac:dyDescent="0.35">
      <c r="A243">
        <v>131742001</v>
      </c>
      <c r="B243">
        <v>80</v>
      </c>
      <c r="C243">
        <v>86329</v>
      </c>
      <c r="D243">
        <v>0</v>
      </c>
      <c r="E243">
        <v>0</v>
      </c>
      <c r="F243" s="1">
        <v>46142</v>
      </c>
      <c r="G243" s="1">
        <v>46142</v>
      </c>
      <c r="H243" s="1">
        <v>43837</v>
      </c>
      <c r="I243">
        <v>0</v>
      </c>
      <c r="J243">
        <v>0</v>
      </c>
      <c r="K243" s="11">
        <v>101.99</v>
      </c>
      <c r="L243">
        <v>0</v>
      </c>
      <c r="M243">
        <v>0</v>
      </c>
      <c r="N243" t="s">
        <v>92</v>
      </c>
      <c r="O243" t="s">
        <v>93</v>
      </c>
      <c r="P243">
        <v>999</v>
      </c>
      <c r="Q243" s="1" t="s">
        <v>94</v>
      </c>
      <c r="R243" s="12">
        <v>43838</v>
      </c>
      <c r="S243" s="12">
        <v>0</v>
      </c>
      <c r="T243" s="12">
        <v>-570279.01</v>
      </c>
      <c r="U243" s="12">
        <v>-412.92</v>
      </c>
      <c r="V243" s="12">
        <v>-570279.01</v>
      </c>
      <c r="W243" s="12">
        <v>0</v>
      </c>
      <c r="X243">
        <v>5702.79</v>
      </c>
      <c r="Y243" t="str">
        <f t="shared" si="6"/>
        <v>Sit.Normal</v>
      </c>
      <c r="Z243">
        <f t="shared" si="7"/>
        <v>1</v>
      </c>
      <c r="AB243">
        <f>VLOOKUP(A243,rubros_a_considerar!$A$2:$A$13,1,FALSE)</f>
        <v>131742001</v>
      </c>
      <c r="AO243" t="str">
        <f>IFERROR(VLOOKUP(A243,Diccionario!$C$2:$E$65,3,FALSE),"no")</f>
        <v>Tarjetas_de_Crédito</v>
      </c>
    </row>
    <row r="244" spans="1:41" x14ac:dyDescent="0.35">
      <c r="A244">
        <v>135742001</v>
      </c>
      <c r="B244">
        <v>2</v>
      </c>
      <c r="C244">
        <v>86330</v>
      </c>
      <c r="D244">
        <v>0</v>
      </c>
      <c r="E244">
        <v>0</v>
      </c>
      <c r="F244" s="1">
        <v>46142</v>
      </c>
      <c r="G244" s="1">
        <v>46142</v>
      </c>
      <c r="H244" s="1">
        <v>45966</v>
      </c>
      <c r="I244">
        <v>0</v>
      </c>
      <c r="J244">
        <v>0</v>
      </c>
      <c r="K244" s="11">
        <v>0</v>
      </c>
      <c r="L244">
        <v>0</v>
      </c>
      <c r="M244">
        <v>0</v>
      </c>
      <c r="N244" t="s">
        <v>92</v>
      </c>
      <c r="O244" t="s">
        <v>93</v>
      </c>
      <c r="P244">
        <v>0</v>
      </c>
      <c r="Q244" s="1" t="s">
        <v>94</v>
      </c>
      <c r="R244" s="12">
        <v>45966</v>
      </c>
      <c r="S244" s="12">
        <v>0</v>
      </c>
      <c r="T244" s="12">
        <v>-8507.5499999999993</v>
      </c>
      <c r="U244" s="12">
        <v>-6.16</v>
      </c>
      <c r="V244" s="12">
        <v>-6.16</v>
      </c>
      <c r="W244" s="12">
        <v>0</v>
      </c>
      <c r="X244">
        <v>0.06</v>
      </c>
      <c r="Y244" t="str">
        <f t="shared" si="6"/>
        <v>Sit.Normal</v>
      </c>
      <c r="Z244">
        <f t="shared" si="7"/>
        <v>1</v>
      </c>
      <c r="AB244">
        <f>VLOOKUP(A244,rubros_a_considerar!$A$2:$A$13,1,FALSE)</f>
        <v>135742001</v>
      </c>
      <c r="AO244" t="str">
        <f>IFERROR(VLOOKUP(A244,Diccionario!$C$2:$E$65,3,FALSE),"no")</f>
        <v>Tarjetas_de_Crédito</v>
      </c>
    </row>
    <row r="245" spans="1:41" x14ac:dyDescent="0.35">
      <c r="A245">
        <v>131742001</v>
      </c>
      <c r="B245">
        <v>80</v>
      </c>
      <c r="C245">
        <v>86330</v>
      </c>
      <c r="D245">
        <v>0</v>
      </c>
      <c r="E245">
        <v>0</v>
      </c>
      <c r="F245" s="1">
        <v>46142</v>
      </c>
      <c r="G245" s="1">
        <v>46142</v>
      </c>
      <c r="H245" s="1">
        <v>43700</v>
      </c>
      <c r="I245">
        <v>0</v>
      </c>
      <c r="J245">
        <v>0</v>
      </c>
      <c r="K245" s="11">
        <v>101.99</v>
      </c>
      <c r="L245">
        <v>0</v>
      </c>
      <c r="M245">
        <v>0</v>
      </c>
      <c r="N245" t="s">
        <v>92</v>
      </c>
      <c r="O245" t="s">
        <v>93</v>
      </c>
      <c r="P245">
        <v>0</v>
      </c>
      <c r="Q245" s="1" t="s">
        <v>94</v>
      </c>
      <c r="R245" s="12">
        <v>43700</v>
      </c>
      <c r="S245" s="12">
        <v>0</v>
      </c>
      <c r="T245" s="12">
        <v>-1383206.37</v>
      </c>
      <c r="U245" s="12">
        <v>-1001.53</v>
      </c>
      <c r="V245" s="12">
        <v>-1383206.37</v>
      </c>
      <c r="W245" s="12">
        <v>0</v>
      </c>
      <c r="X245">
        <v>13832.06</v>
      </c>
      <c r="Y245" t="str">
        <f t="shared" si="6"/>
        <v>Sit.Normal</v>
      </c>
      <c r="Z245">
        <f t="shared" si="7"/>
        <v>1</v>
      </c>
      <c r="AB245">
        <f>VLOOKUP(A245,rubros_a_considerar!$A$2:$A$13,1,FALSE)</f>
        <v>131742001</v>
      </c>
      <c r="AO245" t="str">
        <f>IFERROR(VLOOKUP(A245,Diccionario!$C$2:$E$65,3,FALSE),"no")</f>
        <v>Tarjetas_de_Crédito</v>
      </c>
    </row>
    <row r="246" spans="1:41" x14ac:dyDescent="0.35">
      <c r="A246">
        <v>131742001</v>
      </c>
      <c r="B246">
        <v>80</v>
      </c>
      <c r="C246">
        <v>86637</v>
      </c>
      <c r="D246">
        <v>0</v>
      </c>
      <c r="E246">
        <v>0</v>
      </c>
      <c r="F246" s="1">
        <v>46142</v>
      </c>
      <c r="G246" s="1">
        <v>46142</v>
      </c>
      <c r="H246" s="1">
        <v>45783</v>
      </c>
      <c r="I246">
        <v>0</v>
      </c>
      <c r="J246">
        <v>0</v>
      </c>
      <c r="K246" s="11">
        <v>101.99</v>
      </c>
      <c r="L246">
        <v>0</v>
      </c>
      <c r="M246">
        <v>0</v>
      </c>
      <c r="N246" t="s">
        <v>92</v>
      </c>
      <c r="O246" t="s">
        <v>97</v>
      </c>
      <c r="P246">
        <v>999</v>
      </c>
      <c r="Q246" s="1" t="s">
        <v>94</v>
      </c>
      <c r="R246" s="12">
        <v>45783</v>
      </c>
      <c r="S246" s="12">
        <v>0</v>
      </c>
      <c r="T246" s="12">
        <v>-1119578.05</v>
      </c>
      <c r="U246" s="12">
        <v>-810.64</v>
      </c>
      <c r="V246" s="12">
        <v>-1119578.05</v>
      </c>
      <c r="W246" s="12">
        <v>0</v>
      </c>
      <c r="X246">
        <v>559789.03</v>
      </c>
      <c r="Y246" t="str">
        <f t="shared" si="6"/>
        <v>Alto Riesgo</v>
      </c>
      <c r="Z246">
        <f t="shared" si="7"/>
        <v>4</v>
      </c>
      <c r="AB246">
        <f>VLOOKUP(A246,rubros_a_considerar!$A$2:$A$13,1,FALSE)</f>
        <v>131742001</v>
      </c>
      <c r="AO246" t="str">
        <f>IFERROR(VLOOKUP(A246,Diccionario!$C$2:$E$65,3,FALSE),"no")</f>
        <v>Tarjetas_de_Crédito</v>
      </c>
    </row>
    <row r="247" spans="1:41" x14ac:dyDescent="0.35">
      <c r="A247">
        <v>131742001</v>
      </c>
      <c r="B247">
        <v>80</v>
      </c>
      <c r="C247">
        <v>87020</v>
      </c>
      <c r="D247">
        <v>0</v>
      </c>
      <c r="E247">
        <v>0</v>
      </c>
      <c r="F247" s="1">
        <v>46142</v>
      </c>
      <c r="G247" s="1">
        <v>46142</v>
      </c>
      <c r="H247" s="1">
        <v>45817</v>
      </c>
      <c r="I247">
        <v>0</v>
      </c>
      <c r="J247">
        <v>0</v>
      </c>
      <c r="K247" s="11">
        <v>101.99</v>
      </c>
      <c r="L247">
        <v>0</v>
      </c>
      <c r="M247">
        <v>0</v>
      </c>
      <c r="N247" t="s">
        <v>92</v>
      </c>
      <c r="O247" t="s">
        <v>93</v>
      </c>
      <c r="P247">
        <v>999</v>
      </c>
      <c r="Q247" s="1" t="s">
        <v>94</v>
      </c>
      <c r="R247" s="12">
        <v>45817</v>
      </c>
      <c r="S247" s="12">
        <v>0</v>
      </c>
      <c r="T247" s="12">
        <v>-76463.12</v>
      </c>
      <c r="U247" s="12">
        <v>-55.36</v>
      </c>
      <c r="V247" s="12">
        <v>-76463.12</v>
      </c>
      <c r="W247" s="12">
        <v>0</v>
      </c>
      <c r="X247">
        <v>764.63</v>
      </c>
      <c r="Y247" t="str">
        <f t="shared" si="6"/>
        <v>Sit.Normal</v>
      </c>
      <c r="Z247">
        <f t="shared" si="7"/>
        <v>1</v>
      </c>
      <c r="AB247">
        <f>VLOOKUP(A247,rubros_a_considerar!$A$2:$A$13,1,FALSE)</f>
        <v>131742001</v>
      </c>
      <c r="AO247" t="str">
        <f>IFERROR(VLOOKUP(A247,Diccionario!$C$2:$E$65,3,FALSE),"no")</f>
        <v>Tarjetas_de_Crédito</v>
      </c>
    </row>
    <row r="248" spans="1:41" x14ac:dyDescent="0.35">
      <c r="A248">
        <v>135742001</v>
      </c>
      <c r="B248">
        <v>2</v>
      </c>
      <c r="C248">
        <v>87020</v>
      </c>
      <c r="D248">
        <v>0</v>
      </c>
      <c r="E248">
        <v>0</v>
      </c>
      <c r="F248" s="1">
        <v>46142</v>
      </c>
      <c r="G248" s="1">
        <v>46142</v>
      </c>
      <c r="H248" s="1">
        <v>45758</v>
      </c>
      <c r="I248">
        <v>0</v>
      </c>
      <c r="J248">
        <v>0</v>
      </c>
      <c r="K248" s="11">
        <v>0</v>
      </c>
      <c r="L248">
        <v>0</v>
      </c>
      <c r="M248">
        <v>0</v>
      </c>
      <c r="N248" t="s">
        <v>92</v>
      </c>
      <c r="O248" t="s">
        <v>93</v>
      </c>
      <c r="P248">
        <v>999</v>
      </c>
      <c r="Q248" s="1" t="s">
        <v>94</v>
      </c>
      <c r="R248" s="12">
        <v>45758</v>
      </c>
      <c r="S248" s="12">
        <v>0</v>
      </c>
      <c r="T248" s="12">
        <v>-115418.14</v>
      </c>
      <c r="U248" s="12">
        <v>-83.57</v>
      </c>
      <c r="V248" s="12">
        <v>-83.57</v>
      </c>
      <c r="W248" s="12">
        <v>0</v>
      </c>
      <c r="X248">
        <v>0.84</v>
      </c>
      <c r="Y248" t="str">
        <f t="shared" si="6"/>
        <v>Sit.Normal</v>
      </c>
      <c r="Z248">
        <f t="shared" si="7"/>
        <v>1</v>
      </c>
      <c r="AB248">
        <f>VLOOKUP(A248,rubros_a_considerar!$A$2:$A$13,1,FALSE)</f>
        <v>135742001</v>
      </c>
      <c r="AO248" t="str">
        <f>IFERROR(VLOOKUP(A248,Diccionario!$C$2:$E$65,3,FALSE),"no")</f>
        <v>Tarjetas_de_Crédito</v>
      </c>
    </row>
    <row r="249" spans="1:41" x14ac:dyDescent="0.35">
      <c r="A249">
        <v>131742001</v>
      </c>
      <c r="B249">
        <v>80</v>
      </c>
      <c r="C249">
        <v>87039</v>
      </c>
      <c r="D249">
        <v>0</v>
      </c>
      <c r="E249">
        <v>0</v>
      </c>
      <c r="F249" s="1">
        <v>46142</v>
      </c>
      <c r="G249" s="1">
        <v>46142</v>
      </c>
      <c r="H249" s="1">
        <v>45957</v>
      </c>
      <c r="I249">
        <v>0</v>
      </c>
      <c r="J249">
        <v>0</v>
      </c>
      <c r="K249" s="11">
        <v>101.99</v>
      </c>
      <c r="L249">
        <v>0</v>
      </c>
      <c r="M249">
        <v>0</v>
      </c>
      <c r="N249" t="s">
        <v>92</v>
      </c>
      <c r="O249" t="s">
        <v>93</v>
      </c>
      <c r="P249">
        <v>999</v>
      </c>
      <c r="Q249" s="1" t="s">
        <v>94</v>
      </c>
      <c r="R249" s="12">
        <v>45958</v>
      </c>
      <c r="S249" s="12">
        <v>0</v>
      </c>
      <c r="T249" s="12">
        <v>-654502.03</v>
      </c>
      <c r="U249" s="12">
        <v>-473.9</v>
      </c>
      <c r="V249" s="12">
        <v>-654502.03</v>
      </c>
      <c r="W249" s="12">
        <v>0</v>
      </c>
      <c r="X249">
        <v>6545.02</v>
      </c>
      <c r="Y249" t="str">
        <f t="shared" si="6"/>
        <v>Sit.Normal</v>
      </c>
      <c r="Z249">
        <f t="shared" si="7"/>
        <v>1</v>
      </c>
      <c r="AB249">
        <f>VLOOKUP(A249,rubros_a_considerar!$A$2:$A$13,1,FALSE)</f>
        <v>131742001</v>
      </c>
      <c r="AO249" t="str">
        <f>IFERROR(VLOOKUP(A249,Diccionario!$C$2:$E$65,3,FALSE),"no")</f>
        <v>Tarjetas_de_Crédito</v>
      </c>
    </row>
    <row r="250" spans="1:41" x14ac:dyDescent="0.35">
      <c r="F250" s="1"/>
      <c r="H250" s="1"/>
      <c r="K250" s="11"/>
      <c r="Q250" s="1"/>
      <c r="R250" s="12"/>
      <c r="S250" s="12"/>
      <c r="T250" s="12"/>
      <c r="U250" s="12"/>
      <c r="V250" s="12"/>
      <c r="W250" s="12"/>
      <c r="X250" s="12"/>
    </row>
    <row r="251" spans="1:41" x14ac:dyDescent="0.35">
      <c r="F251" s="1"/>
      <c r="G251" s="1"/>
      <c r="H251" s="1"/>
      <c r="K251" s="11"/>
      <c r="Q251" s="1"/>
      <c r="R251" s="12"/>
      <c r="S251" s="12"/>
      <c r="T251" s="12"/>
      <c r="U251" s="12"/>
      <c r="V251" s="12"/>
      <c r="W251" s="12"/>
      <c r="X251" s="12"/>
    </row>
    <row r="252" spans="1:41" x14ac:dyDescent="0.35">
      <c r="F252" s="1"/>
      <c r="G252" s="1"/>
      <c r="H252" s="1"/>
      <c r="K252" s="11"/>
      <c r="Q252" s="1"/>
      <c r="R252" s="12"/>
      <c r="S252" s="12"/>
      <c r="T252" s="12"/>
      <c r="U252" s="12"/>
      <c r="V252" s="12"/>
      <c r="W252" s="12"/>
      <c r="X252" s="12"/>
    </row>
    <row r="253" spans="1:41" x14ac:dyDescent="0.35">
      <c r="F253" s="1"/>
      <c r="G253" s="1"/>
      <c r="H253" s="1"/>
      <c r="K253" s="11"/>
      <c r="Q253" s="1"/>
      <c r="R253" s="12"/>
      <c r="S253" s="12"/>
      <c r="T253" s="12"/>
      <c r="U253" s="12"/>
      <c r="V253" s="12"/>
      <c r="W253" s="12"/>
      <c r="X253" s="12"/>
    </row>
    <row r="254" spans="1:41" x14ac:dyDescent="0.35">
      <c r="F254" s="1"/>
      <c r="G254" s="1"/>
      <c r="H254" s="1"/>
      <c r="K254" s="11"/>
      <c r="Q254" s="1"/>
      <c r="R254" s="12"/>
      <c r="S254" s="12"/>
      <c r="T254" s="12"/>
      <c r="U254" s="12"/>
      <c r="V254" s="12"/>
      <c r="W254" s="12"/>
      <c r="X254" s="12"/>
    </row>
    <row r="255" spans="1:41" x14ac:dyDescent="0.35">
      <c r="F255" s="1"/>
      <c r="G255" s="1"/>
      <c r="H255" s="1"/>
      <c r="K255" s="11"/>
      <c r="Q255" s="1"/>
      <c r="R255" s="12"/>
      <c r="S255" s="12"/>
      <c r="T255" s="12"/>
      <c r="U255" s="12"/>
      <c r="V255" s="12"/>
      <c r="W255" s="12"/>
      <c r="X255" s="12"/>
    </row>
    <row r="256" spans="1:41" x14ac:dyDescent="0.35">
      <c r="F256" s="1"/>
      <c r="G256" s="1"/>
      <c r="H256" s="1"/>
      <c r="K256" s="11"/>
      <c r="Q256" s="1"/>
      <c r="R256" s="12"/>
      <c r="S256" s="12"/>
      <c r="T256" s="12"/>
      <c r="U256" s="12"/>
      <c r="V256" s="12"/>
      <c r="W256" s="12"/>
      <c r="X256" s="12"/>
    </row>
    <row r="257" spans="6:24" x14ac:dyDescent="0.35">
      <c r="F257" s="1"/>
      <c r="G257" s="1"/>
      <c r="H257" s="1"/>
      <c r="K257" s="11"/>
      <c r="Q257" s="1"/>
      <c r="R257" s="12"/>
      <c r="S257" s="12"/>
      <c r="T257" s="12"/>
      <c r="U257" s="12"/>
      <c r="V257" s="12"/>
      <c r="W257" s="12"/>
      <c r="X257" s="12"/>
    </row>
    <row r="258" spans="6:24" x14ac:dyDescent="0.35">
      <c r="F258" s="1"/>
      <c r="G258" s="1"/>
      <c r="H258" s="1"/>
      <c r="K258" s="11"/>
      <c r="Q258" s="1"/>
      <c r="R258" s="12"/>
      <c r="S258" s="12"/>
      <c r="T258" s="12"/>
      <c r="U258" s="12"/>
      <c r="V258" s="12"/>
      <c r="W258" s="12"/>
      <c r="X258" s="12"/>
    </row>
    <row r="259" spans="6:24" x14ac:dyDescent="0.35">
      <c r="F259" s="1"/>
      <c r="G259" s="1"/>
      <c r="H259" s="1"/>
      <c r="K259" s="11"/>
      <c r="Q259" s="1"/>
      <c r="R259" s="12"/>
      <c r="S259" s="12"/>
      <c r="T259" s="12"/>
      <c r="U259" s="12"/>
      <c r="V259" s="12"/>
      <c r="W259" s="12"/>
      <c r="X259" s="12"/>
    </row>
    <row r="260" spans="6:24" x14ac:dyDescent="0.35">
      <c r="F260" s="1"/>
      <c r="G260" s="1"/>
      <c r="H260" s="1"/>
      <c r="K260" s="11"/>
      <c r="Q260" s="1"/>
      <c r="R260" s="12"/>
      <c r="S260" s="12"/>
      <c r="T260" s="12"/>
      <c r="U260" s="12"/>
      <c r="V260" s="12"/>
      <c r="W260" s="12"/>
      <c r="X260" s="12"/>
    </row>
    <row r="261" spans="6:24" x14ac:dyDescent="0.35">
      <c r="F261" s="1"/>
      <c r="G261" s="1"/>
      <c r="H261" s="1"/>
      <c r="K261" s="11"/>
      <c r="Q261" s="1"/>
      <c r="R261" s="12"/>
      <c r="S261" s="12"/>
      <c r="T261" s="12"/>
      <c r="U261" s="12"/>
      <c r="V261" s="12"/>
      <c r="W261" s="12"/>
      <c r="X261" s="12"/>
    </row>
    <row r="262" spans="6:24" x14ac:dyDescent="0.35">
      <c r="F262" s="1"/>
      <c r="G262" s="1"/>
      <c r="H262" s="1"/>
      <c r="K262" s="11"/>
      <c r="Q262" s="1"/>
      <c r="R262" s="12"/>
      <c r="S262" s="12"/>
      <c r="T262" s="12"/>
      <c r="U262" s="12"/>
      <c r="V262" s="12"/>
      <c r="W262" s="12"/>
      <c r="X262" s="12"/>
    </row>
    <row r="263" spans="6:24" x14ac:dyDescent="0.35">
      <c r="F263" s="1"/>
      <c r="G263" s="1"/>
      <c r="H263" s="1"/>
      <c r="K263" s="11"/>
      <c r="Q263" s="1"/>
      <c r="R263" s="12"/>
      <c r="S263" s="12"/>
      <c r="T263" s="12"/>
      <c r="U263" s="12"/>
      <c r="V263" s="12"/>
      <c r="W263" s="12"/>
      <c r="X263" s="12"/>
    </row>
    <row r="264" spans="6:24" x14ac:dyDescent="0.35">
      <c r="F264" s="1"/>
      <c r="G264" s="1"/>
      <c r="H264" s="1"/>
      <c r="K264" s="11"/>
      <c r="Q264" s="1"/>
      <c r="R264" s="12"/>
      <c r="S264" s="12"/>
      <c r="T264" s="12"/>
      <c r="U264" s="12"/>
      <c r="V264" s="12"/>
      <c r="W264" s="12"/>
      <c r="X264" s="12"/>
    </row>
    <row r="265" spans="6:24" x14ac:dyDescent="0.35">
      <c r="F265" s="1"/>
      <c r="G265" s="1"/>
      <c r="H265" s="1"/>
      <c r="K265" s="11"/>
      <c r="Q265" s="1"/>
      <c r="R265" s="12"/>
      <c r="S265" s="12"/>
      <c r="T265" s="12"/>
      <c r="U265" s="12"/>
      <c r="V265" s="12"/>
      <c r="W265" s="12"/>
      <c r="X265" s="12"/>
    </row>
    <row r="266" spans="6:24" x14ac:dyDescent="0.35">
      <c r="F266" s="1"/>
      <c r="G266" s="1"/>
      <c r="H266" s="1"/>
      <c r="K266" s="11"/>
      <c r="Q266" s="1"/>
      <c r="R266" s="12"/>
      <c r="S266" s="12"/>
      <c r="T266" s="12"/>
      <c r="U266" s="12"/>
      <c r="V266" s="12"/>
      <c r="W266" s="12"/>
      <c r="X266" s="12"/>
    </row>
    <row r="267" spans="6:24" x14ac:dyDescent="0.35">
      <c r="F267" s="1"/>
      <c r="G267" s="1"/>
      <c r="H267" s="1"/>
      <c r="K267" s="11"/>
      <c r="Q267" s="1"/>
      <c r="R267" s="12"/>
      <c r="S267" s="12"/>
      <c r="T267" s="12"/>
      <c r="U267" s="12"/>
      <c r="V267" s="12"/>
      <c r="W267" s="12"/>
      <c r="X267" s="12"/>
    </row>
    <row r="268" spans="6:24" x14ac:dyDescent="0.35">
      <c r="F268" s="1"/>
      <c r="G268" s="1"/>
      <c r="H268" s="1"/>
      <c r="K268" s="11"/>
      <c r="Q268" s="1"/>
      <c r="R268" s="12"/>
      <c r="S268" s="12"/>
      <c r="T268" s="12"/>
      <c r="U268" s="12"/>
      <c r="V268" s="12"/>
      <c r="W268" s="12"/>
      <c r="X268" s="12"/>
    </row>
    <row r="269" spans="6:24" x14ac:dyDescent="0.35">
      <c r="F269" s="1"/>
      <c r="G269" s="1"/>
      <c r="H269" s="1"/>
      <c r="K269" s="11"/>
      <c r="Q269" s="1"/>
      <c r="R269" s="12"/>
      <c r="S269" s="12"/>
      <c r="T269" s="12"/>
      <c r="U269" s="12"/>
      <c r="V269" s="12"/>
      <c r="W269" s="12"/>
      <c r="X269" s="12"/>
    </row>
    <row r="270" spans="6:24" x14ac:dyDescent="0.35">
      <c r="F270" s="1"/>
      <c r="G270" s="1"/>
      <c r="H270" s="1"/>
      <c r="K270" s="11"/>
      <c r="Q270" s="1"/>
      <c r="R270" s="12"/>
      <c r="S270" s="12"/>
      <c r="T270" s="12"/>
      <c r="U270" s="12"/>
      <c r="V270" s="12"/>
      <c r="W270" s="12"/>
      <c r="X270" s="12"/>
    </row>
    <row r="271" spans="6:24" x14ac:dyDescent="0.35">
      <c r="F271" s="1"/>
      <c r="G271" s="1"/>
      <c r="H271" s="1"/>
      <c r="K271" s="11"/>
      <c r="Q271" s="1"/>
      <c r="R271" s="12"/>
      <c r="S271" s="12"/>
      <c r="T271" s="12"/>
      <c r="U271" s="12"/>
      <c r="V271" s="12"/>
      <c r="W271" s="12"/>
      <c r="X271" s="12"/>
    </row>
    <row r="272" spans="6:24" x14ac:dyDescent="0.35">
      <c r="F272" s="1"/>
      <c r="G272" s="1"/>
      <c r="H272" s="1"/>
      <c r="K272" s="11"/>
      <c r="Q272" s="1"/>
      <c r="R272" s="12"/>
      <c r="S272" s="12"/>
      <c r="T272" s="12"/>
      <c r="U272" s="12"/>
      <c r="V272" s="12"/>
      <c r="W272" s="12"/>
      <c r="X272" s="12"/>
    </row>
    <row r="273" spans="6:24" x14ac:dyDescent="0.35">
      <c r="F273" s="1"/>
      <c r="G273" s="1"/>
      <c r="H273" s="1"/>
      <c r="K273" s="11"/>
      <c r="Q273" s="1"/>
      <c r="R273" s="12"/>
      <c r="S273" s="12"/>
      <c r="T273" s="12"/>
      <c r="U273" s="12"/>
      <c r="V273" s="12"/>
      <c r="W273" s="12"/>
      <c r="X273" s="12"/>
    </row>
    <row r="274" spans="6:24" x14ac:dyDescent="0.35">
      <c r="F274" s="1"/>
      <c r="G274" s="1"/>
      <c r="H274" s="1"/>
      <c r="K274" s="11"/>
      <c r="Q274" s="1"/>
      <c r="R274" s="12"/>
      <c r="S274" s="12"/>
      <c r="T274" s="12"/>
      <c r="U274" s="12"/>
      <c r="V274" s="12"/>
      <c r="W274" s="12"/>
      <c r="X274" s="12"/>
    </row>
    <row r="275" spans="6:24" x14ac:dyDescent="0.35">
      <c r="F275" s="1"/>
      <c r="G275" s="1"/>
      <c r="H275" s="1"/>
      <c r="K275" s="11"/>
      <c r="Q275" s="1"/>
      <c r="R275" s="12"/>
      <c r="S275" s="12"/>
      <c r="T275" s="12"/>
      <c r="U275" s="12"/>
      <c r="V275" s="12"/>
      <c r="W275" s="12"/>
      <c r="X275" s="12"/>
    </row>
    <row r="276" spans="6:24" x14ac:dyDescent="0.35">
      <c r="F276" s="1"/>
      <c r="G276" s="1"/>
      <c r="H276" s="1"/>
      <c r="K276" s="11"/>
      <c r="Q276" s="1"/>
      <c r="R276" s="12"/>
      <c r="S276" s="12"/>
      <c r="T276" s="12"/>
      <c r="U276" s="12"/>
      <c r="V276" s="12"/>
      <c r="W276" s="12"/>
      <c r="X276" s="12"/>
    </row>
    <row r="277" spans="6:24" x14ac:dyDescent="0.35">
      <c r="F277" s="1"/>
      <c r="G277" s="1"/>
      <c r="H277" s="1"/>
      <c r="K277" s="11"/>
      <c r="Q277" s="1"/>
      <c r="R277" s="12"/>
      <c r="S277" s="12"/>
      <c r="T277" s="12"/>
      <c r="U277" s="12"/>
      <c r="V277" s="12"/>
      <c r="W277" s="12"/>
      <c r="X277" s="12"/>
    </row>
    <row r="278" spans="6:24" x14ac:dyDescent="0.35">
      <c r="F278" s="1"/>
      <c r="G278" s="1"/>
      <c r="H278" s="1"/>
      <c r="K278" s="11"/>
      <c r="Q278" s="1"/>
      <c r="R278" s="12"/>
      <c r="S278" s="12"/>
      <c r="T278" s="12"/>
      <c r="U278" s="12"/>
      <c r="V278" s="12"/>
      <c r="W278" s="12"/>
      <c r="X278" s="12"/>
    </row>
    <row r="279" spans="6:24" x14ac:dyDescent="0.35">
      <c r="F279" s="1"/>
      <c r="G279" s="1"/>
      <c r="H279" s="1"/>
      <c r="K279" s="11"/>
      <c r="Q279" s="1"/>
      <c r="R279" s="12"/>
      <c r="S279" s="12"/>
      <c r="T279" s="12"/>
      <c r="U279" s="12"/>
      <c r="V279" s="12"/>
      <c r="W279" s="12"/>
      <c r="X279" s="12"/>
    </row>
    <row r="280" spans="6:24" x14ac:dyDescent="0.35">
      <c r="F280" s="1"/>
      <c r="G280" s="1"/>
      <c r="H280" s="1"/>
      <c r="K280" s="11"/>
      <c r="Q280" s="1"/>
      <c r="R280" s="12"/>
      <c r="S280" s="12"/>
      <c r="T280" s="12"/>
      <c r="U280" s="12"/>
      <c r="V280" s="12"/>
      <c r="W280" s="12"/>
      <c r="X280" s="12"/>
    </row>
    <row r="281" spans="6:24" x14ac:dyDescent="0.35">
      <c r="F281" s="1"/>
      <c r="G281" s="1"/>
      <c r="H281" s="1"/>
      <c r="K281" s="11"/>
      <c r="Q281" s="1"/>
      <c r="R281" s="12"/>
      <c r="S281" s="12"/>
      <c r="T281" s="12"/>
      <c r="U281" s="12"/>
      <c r="V281" s="12"/>
      <c r="W281" s="12"/>
      <c r="X281" s="12"/>
    </row>
    <row r="282" spans="6:24" x14ac:dyDescent="0.35">
      <c r="F282" s="1"/>
      <c r="G282" s="1"/>
      <c r="H282" s="1"/>
      <c r="K282" s="11"/>
      <c r="Q282" s="1"/>
      <c r="R282" s="12"/>
      <c r="S282" s="12"/>
      <c r="T282" s="12"/>
      <c r="U282" s="12"/>
      <c r="V282" s="12"/>
      <c r="W282" s="12"/>
      <c r="X282" s="12"/>
    </row>
    <row r="283" spans="6:24" x14ac:dyDescent="0.35">
      <c r="F283" s="1"/>
      <c r="G283" s="1"/>
      <c r="H283" s="1"/>
      <c r="K283" s="11"/>
      <c r="Q283" s="1"/>
      <c r="R283" s="12"/>
      <c r="S283" s="12"/>
      <c r="T283" s="12"/>
      <c r="U283" s="12"/>
      <c r="V283" s="12"/>
      <c r="W283" s="12"/>
      <c r="X283" s="12"/>
    </row>
    <row r="284" spans="6:24" x14ac:dyDescent="0.35">
      <c r="F284" s="1"/>
      <c r="G284" s="1"/>
      <c r="H284" s="1"/>
      <c r="K284" s="11"/>
      <c r="Q284" s="1"/>
      <c r="R284" s="12"/>
      <c r="S284" s="12"/>
      <c r="T284" s="12"/>
      <c r="U284" s="12"/>
      <c r="V284" s="12"/>
      <c r="W284" s="12"/>
      <c r="X284" s="12"/>
    </row>
    <row r="285" spans="6:24" x14ac:dyDescent="0.35">
      <c r="F285" s="1"/>
      <c r="G285" s="1"/>
      <c r="H285" s="1"/>
      <c r="K285" s="11"/>
      <c r="Q285" s="1"/>
      <c r="R285" s="12"/>
      <c r="S285" s="12"/>
      <c r="T285" s="12"/>
      <c r="U285" s="12"/>
      <c r="V285" s="12"/>
      <c r="W285" s="12"/>
      <c r="X285" s="12"/>
    </row>
    <row r="286" spans="6:24" x14ac:dyDescent="0.35">
      <c r="F286" s="1"/>
      <c r="G286" s="1"/>
      <c r="H286" s="1"/>
      <c r="K286" s="11"/>
      <c r="Q286" s="1"/>
      <c r="R286" s="12"/>
      <c r="S286" s="12"/>
      <c r="T286" s="12"/>
      <c r="U286" s="12"/>
      <c r="V286" s="12"/>
      <c r="W286" s="12"/>
      <c r="X286" s="12"/>
    </row>
    <row r="287" spans="6:24" x14ac:dyDescent="0.35">
      <c r="F287" s="1"/>
      <c r="G287" s="1"/>
      <c r="H287" s="1"/>
      <c r="K287" s="11"/>
      <c r="Q287" s="1"/>
      <c r="R287" s="12"/>
      <c r="S287" s="12"/>
      <c r="T287" s="12"/>
      <c r="U287" s="12"/>
      <c r="V287" s="12"/>
      <c r="W287" s="12"/>
      <c r="X287" s="12"/>
    </row>
    <row r="288" spans="6:24" x14ac:dyDescent="0.35">
      <c r="F288" s="1"/>
      <c r="G288" s="1"/>
      <c r="H288" s="1"/>
      <c r="K288" s="11"/>
      <c r="Q288" s="1"/>
      <c r="R288" s="12"/>
      <c r="S288" s="12"/>
      <c r="T288" s="12"/>
      <c r="U288" s="12"/>
      <c r="V288" s="12"/>
      <c r="W288" s="12"/>
      <c r="X288" s="12"/>
    </row>
    <row r="289" spans="6:24" x14ac:dyDescent="0.35">
      <c r="F289" s="1"/>
      <c r="G289" s="1"/>
      <c r="H289" s="1"/>
      <c r="K289" s="11"/>
      <c r="Q289" s="1"/>
      <c r="R289" s="12"/>
      <c r="S289" s="12"/>
      <c r="T289" s="12"/>
      <c r="U289" s="12"/>
      <c r="V289" s="12"/>
      <c r="W289" s="12"/>
      <c r="X289" s="12"/>
    </row>
    <row r="290" spans="6:24" x14ac:dyDescent="0.35">
      <c r="F290" s="1"/>
      <c r="G290" s="1"/>
      <c r="H290" s="1"/>
      <c r="K290" s="11"/>
      <c r="Q290" s="1"/>
      <c r="R290" s="12"/>
      <c r="S290" s="12"/>
      <c r="T290" s="12"/>
      <c r="U290" s="12"/>
      <c r="V290" s="12"/>
      <c r="W290" s="12"/>
      <c r="X290" s="12"/>
    </row>
    <row r="291" spans="6:24" x14ac:dyDescent="0.35">
      <c r="F291" s="1"/>
      <c r="G291" s="1"/>
      <c r="H291" s="1"/>
      <c r="K291" s="11"/>
      <c r="Q291" s="1"/>
      <c r="R291" s="12"/>
      <c r="S291" s="12"/>
      <c r="T291" s="12"/>
      <c r="U291" s="12"/>
      <c r="V291" s="12"/>
      <c r="W291" s="12"/>
      <c r="X291" s="12"/>
    </row>
    <row r="292" spans="6:24" x14ac:dyDescent="0.35">
      <c r="F292" s="1"/>
      <c r="G292" s="1"/>
      <c r="H292" s="1"/>
      <c r="K292" s="11"/>
      <c r="Q292" s="1"/>
      <c r="R292" s="12"/>
      <c r="S292" s="12"/>
      <c r="T292" s="12"/>
      <c r="U292" s="12"/>
      <c r="V292" s="12"/>
      <c r="W292" s="12"/>
      <c r="X292" s="12"/>
    </row>
    <row r="293" spans="6:24" x14ac:dyDescent="0.35">
      <c r="F293" s="1"/>
      <c r="G293" s="1"/>
      <c r="H293" s="1"/>
      <c r="K293" s="11"/>
      <c r="Q293" s="1"/>
      <c r="R293" s="12"/>
      <c r="S293" s="12"/>
      <c r="T293" s="12"/>
      <c r="U293" s="12"/>
      <c r="V293" s="12"/>
      <c r="W293" s="12"/>
      <c r="X293" s="12"/>
    </row>
    <row r="294" spans="6:24" x14ac:dyDescent="0.35">
      <c r="F294" s="1"/>
      <c r="G294" s="1"/>
      <c r="H294" s="1"/>
      <c r="K294" s="11"/>
      <c r="Q294" s="1"/>
      <c r="R294" s="12"/>
      <c r="S294" s="12"/>
      <c r="T294" s="12"/>
      <c r="U294" s="12"/>
      <c r="V294" s="12"/>
      <c r="W294" s="12"/>
      <c r="X294" s="12"/>
    </row>
    <row r="295" spans="6:24" x14ac:dyDescent="0.35">
      <c r="F295" s="1"/>
      <c r="G295" s="1"/>
      <c r="H295" s="1"/>
      <c r="K295" s="11"/>
      <c r="Q295" s="1"/>
      <c r="R295" s="12"/>
      <c r="S295" s="12"/>
      <c r="T295" s="12"/>
      <c r="U295" s="12"/>
      <c r="V295" s="12"/>
      <c r="W295" s="12"/>
      <c r="X295" s="12"/>
    </row>
    <row r="296" spans="6:24" x14ac:dyDescent="0.35">
      <c r="F296" s="1"/>
      <c r="G296" s="1"/>
      <c r="H296" s="1"/>
      <c r="K296" s="11"/>
      <c r="Q296" s="1"/>
      <c r="R296" s="12"/>
      <c r="S296" s="12"/>
      <c r="T296" s="12"/>
      <c r="U296" s="12"/>
      <c r="V296" s="12"/>
      <c r="W296" s="12"/>
      <c r="X296" s="12"/>
    </row>
    <row r="297" spans="6:24" x14ac:dyDescent="0.35">
      <c r="F297" s="1"/>
      <c r="G297" s="1"/>
      <c r="H297" s="1"/>
      <c r="K297" s="11"/>
      <c r="Q297" s="1"/>
      <c r="R297" s="12"/>
      <c r="S297" s="12"/>
      <c r="T297" s="12"/>
      <c r="U297" s="12"/>
      <c r="V297" s="12"/>
      <c r="W297" s="12"/>
      <c r="X297" s="12"/>
    </row>
    <row r="298" spans="6:24" x14ac:dyDescent="0.35">
      <c r="F298" s="1"/>
      <c r="G298" s="1"/>
      <c r="H298" s="1"/>
      <c r="K298" s="11"/>
      <c r="Q298" s="1"/>
      <c r="R298" s="12"/>
      <c r="S298" s="12"/>
      <c r="T298" s="12"/>
      <c r="U298" s="12"/>
      <c r="V298" s="12"/>
      <c r="W298" s="12"/>
      <c r="X298" s="12"/>
    </row>
    <row r="299" spans="6:24" x14ac:dyDescent="0.35">
      <c r="F299" s="1"/>
      <c r="G299" s="1"/>
      <c r="H299" s="1"/>
      <c r="K299" s="11"/>
      <c r="Q299" s="1"/>
      <c r="R299" s="12"/>
      <c r="S299" s="12"/>
      <c r="T299" s="12"/>
      <c r="U299" s="12"/>
      <c r="V299" s="12"/>
      <c r="W299" s="12"/>
      <c r="X299" s="12"/>
    </row>
    <row r="300" spans="6:24" x14ac:dyDescent="0.35">
      <c r="F300" s="1"/>
      <c r="G300" s="1"/>
      <c r="H300" s="1"/>
      <c r="K300" s="11"/>
      <c r="Q300" s="1"/>
      <c r="R300" s="12"/>
      <c r="S300" s="12"/>
      <c r="T300" s="12"/>
      <c r="U300" s="12"/>
      <c r="V300" s="12"/>
      <c r="W300" s="12"/>
      <c r="X300" s="12"/>
    </row>
    <row r="301" spans="6:24" x14ac:dyDescent="0.35">
      <c r="F301" s="1"/>
      <c r="G301" s="1"/>
      <c r="H301" s="1"/>
      <c r="K301" s="11"/>
      <c r="Q301" s="1"/>
      <c r="R301" s="12"/>
      <c r="S301" s="12"/>
      <c r="T301" s="12"/>
      <c r="U301" s="12"/>
      <c r="V301" s="12"/>
      <c r="W301" s="12"/>
      <c r="X301" s="12"/>
    </row>
    <row r="302" spans="6:24" x14ac:dyDescent="0.35">
      <c r="F302" s="1"/>
      <c r="G302" s="1"/>
      <c r="H302" s="1"/>
      <c r="K302" s="11"/>
      <c r="Q302" s="1"/>
      <c r="R302" s="12"/>
      <c r="S302" s="12"/>
      <c r="T302" s="12"/>
      <c r="U302" s="12"/>
      <c r="V302" s="12"/>
      <c r="W302" s="12"/>
      <c r="X302" s="12"/>
    </row>
    <row r="303" spans="6:24" x14ac:dyDescent="0.35">
      <c r="F303" s="1"/>
      <c r="G303" s="1"/>
      <c r="H303" s="1"/>
      <c r="K303" s="11"/>
      <c r="Q303" s="1"/>
      <c r="R303" s="12"/>
      <c r="S303" s="12"/>
      <c r="T303" s="12"/>
      <c r="U303" s="12"/>
      <c r="V303" s="12"/>
      <c r="W303" s="12"/>
      <c r="X303" s="12"/>
    </row>
    <row r="304" spans="6:24" x14ac:dyDescent="0.35">
      <c r="F304" s="1"/>
      <c r="G304" s="1"/>
      <c r="H304" s="1"/>
      <c r="K304" s="11"/>
      <c r="Q304" s="1"/>
      <c r="R304" s="12"/>
      <c r="S304" s="12"/>
      <c r="T304" s="12"/>
      <c r="U304" s="12"/>
      <c r="V304" s="12"/>
      <c r="W304" s="12"/>
      <c r="X304" s="12"/>
    </row>
    <row r="305" spans="6:24" x14ac:dyDescent="0.35">
      <c r="F305" s="1"/>
      <c r="G305" s="1"/>
      <c r="H305" s="1"/>
      <c r="K305" s="11"/>
      <c r="Q305" s="1"/>
      <c r="R305" s="12"/>
      <c r="S305" s="12"/>
      <c r="T305" s="12"/>
      <c r="U305" s="12"/>
      <c r="V305" s="12"/>
      <c r="W305" s="12"/>
      <c r="X305" s="12"/>
    </row>
    <row r="306" spans="6:24" x14ac:dyDescent="0.35">
      <c r="F306" s="1"/>
      <c r="G306" s="1"/>
      <c r="H306" s="1"/>
      <c r="K306" s="11"/>
      <c r="Q306" s="1"/>
      <c r="R306" s="12"/>
      <c r="S306" s="12"/>
      <c r="T306" s="12"/>
      <c r="U306" s="12"/>
      <c r="V306" s="12"/>
      <c r="W306" s="12"/>
      <c r="X306" s="12"/>
    </row>
    <row r="307" spans="6:24" x14ac:dyDescent="0.35">
      <c r="F307" s="1"/>
      <c r="G307" s="1"/>
      <c r="H307" s="1"/>
      <c r="K307" s="11"/>
      <c r="Q307" s="1"/>
      <c r="R307" s="12"/>
      <c r="S307" s="12"/>
      <c r="T307" s="12"/>
      <c r="U307" s="12"/>
      <c r="V307" s="12"/>
      <c r="W307" s="12"/>
      <c r="X307" s="12"/>
    </row>
    <row r="308" spans="6:24" x14ac:dyDescent="0.35">
      <c r="F308" s="1"/>
      <c r="G308" s="1"/>
      <c r="H308" s="1"/>
      <c r="K308" s="11"/>
      <c r="Q308" s="1"/>
      <c r="R308" s="12"/>
      <c r="S308" s="12"/>
      <c r="T308" s="12"/>
      <c r="U308" s="12"/>
      <c r="V308" s="12"/>
      <c r="W308" s="12"/>
      <c r="X308" s="12"/>
    </row>
    <row r="309" spans="6:24" x14ac:dyDescent="0.35">
      <c r="F309" s="1"/>
      <c r="G309" s="1"/>
      <c r="H309" s="1"/>
      <c r="K309" s="11"/>
      <c r="Q309" s="1"/>
      <c r="R309" s="12"/>
      <c r="S309" s="12"/>
      <c r="T309" s="12"/>
      <c r="U309" s="12"/>
      <c r="V309" s="12"/>
      <c r="W309" s="12"/>
      <c r="X309" s="12"/>
    </row>
    <row r="310" spans="6:24" x14ac:dyDescent="0.35">
      <c r="F310" s="1"/>
      <c r="G310" s="1"/>
      <c r="H310" s="1"/>
      <c r="K310" s="11"/>
      <c r="Q310" s="1"/>
      <c r="R310" s="12"/>
      <c r="S310" s="12"/>
      <c r="T310" s="12"/>
      <c r="U310" s="12"/>
      <c r="V310" s="12"/>
      <c r="W310" s="12"/>
      <c r="X310" s="12"/>
    </row>
    <row r="311" spans="6:24" x14ac:dyDescent="0.35">
      <c r="F311" s="1"/>
      <c r="G311" s="1"/>
      <c r="H311" s="1"/>
      <c r="K311" s="11"/>
      <c r="Q311" s="1"/>
      <c r="R311" s="12"/>
      <c r="S311" s="12"/>
      <c r="T311" s="12"/>
      <c r="U311" s="12"/>
      <c r="V311" s="12"/>
      <c r="W311" s="12"/>
      <c r="X311" s="12"/>
    </row>
    <row r="312" spans="6:24" x14ac:dyDescent="0.35">
      <c r="F312" s="1"/>
      <c r="G312" s="1"/>
      <c r="H312" s="1"/>
      <c r="K312" s="11"/>
      <c r="Q312" s="1"/>
      <c r="R312" s="12"/>
      <c r="S312" s="12"/>
      <c r="T312" s="12"/>
      <c r="U312" s="12"/>
      <c r="V312" s="12"/>
      <c r="W312" s="12"/>
      <c r="X312" s="12"/>
    </row>
    <row r="313" spans="6:24" x14ac:dyDescent="0.35">
      <c r="F313" s="1"/>
      <c r="G313" s="1"/>
      <c r="H313" s="1"/>
      <c r="K313" s="11"/>
      <c r="Q313" s="1"/>
      <c r="R313" s="12"/>
      <c r="S313" s="12"/>
      <c r="T313" s="12"/>
      <c r="U313" s="12"/>
      <c r="V313" s="12"/>
      <c r="W313" s="12"/>
      <c r="X313" s="12"/>
    </row>
    <row r="314" spans="6:24" x14ac:dyDescent="0.35">
      <c r="F314" s="1"/>
      <c r="G314" s="1"/>
      <c r="H314" s="1"/>
      <c r="K314" s="11"/>
      <c r="Q314" s="1"/>
      <c r="R314" s="12"/>
      <c r="S314" s="12"/>
      <c r="T314" s="12"/>
      <c r="U314" s="12"/>
      <c r="V314" s="12"/>
      <c r="W314" s="12"/>
      <c r="X314" s="12"/>
    </row>
    <row r="315" spans="6:24" x14ac:dyDescent="0.35">
      <c r="F315" s="1"/>
      <c r="G315" s="1"/>
      <c r="H315" s="1"/>
      <c r="K315" s="11"/>
      <c r="Q315" s="1"/>
      <c r="R315" s="12"/>
      <c r="S315" s="12"/>
      <c r="T315" s="12"/>
      <c r="U315" s="12"/>
      <c r="V315" s="12"/>
      <c r="W315" s="12"/>
      <c r="X315" s="12"/>
    </row>
    <row r="316" spans="6:24" x14ac:dyDescent="0.35">
      <c r="F316" s="1"/>
      <c r="G316" s="1"/>
      <c r="H316" s="1"/>
      <c r="K316" s="11"/>
      <c r="Q316" s="1"/>
      <c r="R316" s="12"/>
      <c r="S316" s="12"/>
      <c r="T316" s="12"/>
      <c r="U316" s="12"/>
      <c r="V316" s="12"/>
      <c r="W316" s="12"/>
      <c r="X316" s="12"/>
    </row>
    <row r="317" spans="6:24" x14ac:dyDescent="0.35">
      <c r="F317" s="1"/>
      <c r="G317" s="1"/>
      <c r="H317" s="1"/>
      <c r="K317" s="11"/>
      <c r="Q317" s="1"/>
      <c r="R317" s="12"/>
      <c r="S317" s="12"/>
      <c r="T317" s="12"/>
      <c r="U317" s="12"/>
      <c r="V317" s="12"/>
      <c r="W317" s="12"/>
      <c r="X317" s="12"/>
    </row>
    <row r="318" spans="6:24" x14ac:dyDescent="0.35">
      <c r="F318" s="1"/>
      <c r="G318" s="1"/>
      <c r="H318" s="1"/>
      <c r="K318" s="11"/>
      <c r="Q318" s="1"/>
      <c r="R318" s="12"/>
      <c r="S318" s="12"/>
      <c r="T318" s="12"/>
      <c r="U318" s="12"/>
      <c r="V318" s="12"/>
      <c r="W318" s="12"/>
      <c r="X318" s="12"/>
    </row>
    <row r="319" spans="6:24" x14ac:dyDescent="0.35">
      <c r="F319" s="1"/>
      <c r="G319" s="1"/>
      <c r="H319" s="1"/>
      <c r="K319" s="11"/>
      <c r="Q319" s="1"/>
      <c r="R319" s="12"/>
      <c r="S319" s="12"/>
      <c r="T319" s="12"/>
      <c r="U319" s="12"/>
      <c r="V319" s="12"/>
      <c r="W319" s="12"/>
      <c r="X319" s="12"/>
    </row>
    <row r="320" spans="6:24" x14ac:dyDescent="0.35">
      <c r="F320" s="1"/>
      <c r="G320" s="1"/>
      <c r="H320" s="1"/>
      <c r="K320" s="11"/>
      <c r="Q320" s="1"/>
      <c r="R320" s="12"/>
      <c r="S320" s="12"/>
      <c r="T320" s="12"/>
      <c r="U320" s="12"/>
      <c r="V320" s="12"/>
      <c r="W320" s="12"/>
      <c r="X320" s="12"/>
    </row>
    <row r="321" spans="6:24" x14ac:dyDescent="0.35">
      <c r="F321" s="1"/>
      <c r="G321" s="1"/>
      <c r="H321" s="1"/>
      <c r="K321" s="11"/>
      <c r="Q321" s="1"/>
      <c r="R321" s="12"/>
      <c r="S321" s="12"/>
      <c r="T321" s="12"/>
      <c r="U321" s="12"/>
      <c r="V321" s="12"/>
      <c r="W321" s="12"/>
      <c r="X321" s="12"/>
    </row>
    <row r="322" spans="6:24" x14ac:dyDescent="0.35">
      <c r="F322" s="1"/>
      <c r="G322" s="1"/>
      <c r="H322" s="1"/>
      <c r="K322" s="11"/>
      <c r="Q322" s="1"/>
      <c r="R322" s="12"/>
      <c r="S322" s="12"/>
      <c r="T322" s="12"/>
      <c r="U322" s="12"/>
      <c r="V322" s="12"/>
      <c r="W322" s="12"/>
      <c r="X322" s="12"/>
    </row>
    <row r="323" spans="6:24" x14ac:dyDescent="0.35">
      <c r="F323" s="1"/>
      <c r="G323" s="1"/>
      <c r="H323" s="1"/>
      <c r="K323" s="11"/>
      <c r="Q323" s="1"/>
      <c r="R323" s="12"/>
      <c r="S323" s="12"/>
      <c r="T323" s="12"/>
      <c r="U323" s="12"/>
      <c r="V323" s="12"/>
      <c r="W323" s="12"/>
      <c r="X323" s="12"/>
    </row>
    <row r="324" spans="6:24" x14ac:dyDescent="0.35">
      <c r="F324" s="1"/>
      <c r="G324" s="1"/>
      <c r="H324" s="1"/>
      <c r="K324" s="11"/>
      <c r="Q324" s="1"/>
      <c r="R324" s="12"/>
      <c r="S324" s="12"/>
      <c r="T324" s="12"/>
      <c r="U324" s="12"/>
      <c r="V324" s="12"/>
      <c r="W324" s="12"/>
      <c r="X324" s="12"/>
    </row>
    <row r="325" spans="6:24" x14ac:dyDescent="0.35">
      <c r="F325" s="1"/>
      <c r="G325" s="1"/>
      <c r="H325" s="1"/>
      <c r="K325" s="11"/>
      <c r="Q325" s="1"/>
      <c r="R325" s="12"/>
      <c r="S325" s="12"/>
      <c r="T325" s="12"/>
      <c r="U325" s="12"/>
      <c r="V325" s="12"/>
      <c r="W325" s="12"/>
      <c r="X325" s="12"/>
    </row>
    <row r="326" spans="6:24" x14ac:dyDescent="0.35">
      <c r="F326" s="1"/>
      <c r="G326" s="1"/>
      <c r="H326" s="1"/>
      <c r="K326" s="11"/>
      <c r="Q326" s="1"/>
      <c r="R326" s="12"/>
      <c r="S326" s="12"/>
      <c r="T326" s="12"/>
      <c r="U326" s="12"/>
      <c r="V326" s="12"/>
      <c r="W326" s="12"/>
      <c r="X326" s="12"/>
    </row>
    <row r="327" spans="6:24" x14ac:dyDescent="0.35">
      <c r="F327" s="1"/>
      <c r="G327" s="1"/>
      <c r="H327" s="1"/>
      <c r="K327" s="11"/>
      <c r="Q327" s="1"/>
      <c r="R327" s="12"/>
      <c r="S327" s="12"/>
      <c r="T327" s="12"/>
      <c r="U327" s="12"/>
      <c r="V327" s="12"/>
      <c r="W327" s="12"/>
      <c r="X327" s="12"/>
    </row>
    <row r="328" spans="6:24" x14ac:dyDescent="0.35">
      <c r="F328" s="1"/>
      <c r="G328" s="1"/>
      <c r="H328" s="1"/>
      <c r="K328" s="11"/>
      <c r="Q328" s="1"/>
      <c r="R328" s="12"/>
      <c r="S328" s="12"/>
      <c r="T328" s="12"/>
      <c r="U328" s="12"/>
      <c r="V328" s="12"/>
      <c r="W328" s="12"/>
      <c r="X328" s="12"/>
    </row>
    <row r="329" spans="6:24" x14ac:dyDescent="0.35">
      <c r="F329" s="1"/>
      <c r="G329" s="1"/>
      <c r="H329" s="1"/>
      <c r="K329" s="11"/>
      <c r="Q329" s="1"/>
      <c r="R329" s="12"/>
      <c r="S329" s="12"/>
      <c r="T329" s="12"/>
      <c r="U329" s="12"/>
      <c r="V329" s="12"/>
      <c r="W329" s="12"/>
      <c r="X329" s="12"/>
    </row>
    <row r="330" spans="6:24" x14ac:dyDescent="0.35">
      <c r="F330" s="1"/>
      <c r="G330" s="1"/>
      <c r="H330" s="1"/>
      <c r="K330" s="11"/>
      <c r="Q330" s="1"/>
      <c r="R330" s="12"/>
      <c r="S330" s="12"/>
      <c r="T330" s="12"/>
      <c r="U330" s="12"/>
      <c r="V330" s="12"/>
      <c r="W330" s="12"/>
      <c r="X330" s="12"/>
    </row>
    <row r="331" spans="6:24" x14ac:dyDescent="0.35">
      <c r="F331" s="1"/>
      <c r="G331" s="1"/>
      <c r="H331" s="1"/>
      <c r="K331" s="11"/>
      <c r="Q331" s="1"/>
      <c r="R331" s="12"/>
      <c r="S331" s="12"/>
      <c r="T331" s="12"/>
      <c r="U331" s="12"/>
      <c r="V331" s="12"/>
      <c r="W331" s="12"/>
      <c r="X331" s="12"/>
    </row>
    <row r="332" spans="6:24" x14ac:dyDescent="0.35">
      <c r="F332" s="1"/>
      <c r="G332" s="1"/>
      <c r="H332" s="1"/>
      <c r="K332" s="11"/>
      <c r="Q332" s="1"/>
      <c r="R332" s="12"/>
      <c r="S332" s="12"/>
      <c r="T332" s="12"/>
      <c r="U332" s="12"/>
      <c r="V332" s="12"/>
      <c r="W332" s="12"/>
      <c r="X332" s="12"/>
    </row>
    <row r="333" spans="6:24" x14ac:dyDescent="0.35">
      <c r="F333" s="1"/>
      <c r="G333" s="1"/>
      <c r="H333" s="1"/>
      <c r="K333" s="11"/>
      <c r="Q333" s="1"/>
      <c r="R333" s="12"/>
      <c r="S333" s="12"/>
      <c r="T333" s="12"/>
      <c r="U333" s="12"/>
      <c r="V333" s="12"/>
      <c r="W333" s="12"/>
      <c r="X333" s="12"/>
    </row>
    <row r="334" spans="6:24" x14ac:dyDescent="0.35">
      <c r="F334" s="1"/>
      <c r="G334" s="1"/>
      <c r="H334" s="1"/>
      <c r="K334" s="11"/>
      <c r="Q334" s="1"/>
      <c r="R334" s="12"/>
      <c r="S334" s="12"/>
      <c r="T334" s="12"/>
      <c r="U334" s="12"/>
      <c r="V334" s="12"/>
      <c r="W334" s="12"/>
      <c r="X334" s="12"/>
    </row>
    <row r="335" spans="6:24" x14ac:dyDescent="0.35">
      <c r="F335" s="1"/>
      <c r="G335" s="1"/>
      <c r="H335" s="1"/>
      <c r="K335" s="11"/>
      <c r="Q335" s="1"/>
      <c r="R335" s="12"/>
      <c r="S335" s="12"/>
      <c r="T335" s="12"/>
      <c r="U335" s="12"/>
      <c r="V335" s="12"/>
      <c r="W335" s="12"/>
      <c r="X335" s="12"/>
    </row>
    <row r="336" spans="6:24" x14ac:dyDescent="0.35">
      <c r="F336" s="1"/>
      <c r="G336" s="1"/>
      <c r="H336" s="1"/>
      <c r="K336" s="11"/>
      <c r="Q336" s="1"/>
      <c r="R336" s="12"/>
      <c r="S336" s="12"/>
      <c r="T336" s="12"/>
      <c r="U336" s="12"/>
      <c r="V336" s="12"/>
      <c r="W336" s="12"/>
      <c r="X336" s="12"/>
    </row>
    <row r="337" spans="6:24" x14ac:dyDescent="0.35">
      <c r="F337" s="1"/>
      <c r="G337" s="1"/>
      <c r="H337" s="1"/>
      <c r="K337" s="11"/>
      <c r="Q337" s="1"/>
      <c r="R337" s="12"/>
      <c r="S337" s="12"/>
      <c r="T337" s="12"/>
      <c r="U337" s="12"/>
      <c r="V337" s="12"/>
      <c r="W337" s="12"/>
      <c r="X337" s="12"/>
    </row>
    <row r="338" spans="6:24" x14ac:dyDescent="0.35">
      <c r="F338" s="1"/>
      <c r="G338" s="1"/>
      <c r="H338" s="1"/>
      <c r="K338" s="11"/>
      <c r="Q338" s="1"/>
      <c r="R338" s="12"/>
      <c r="S338" s="12"/>
      <c r="T338" s="12"/>
      <c r="U338" s="12"/>
      <c r="V338" s="12"/>
      <c r="W338" s="12"/>
      <c r="X338" s="12"/>
    </row>
    <row r="339" spans="6:24" x14ac:dyDescent="0.35">
      <c r="F339" s="1"/>
      <c r="G339" s="1"/>
      <c r="H339" s="1"/>
      <c r="K339" s="11"/>
      <c r="Q339" s="1"/>
      <c r="R339" s="12"/>
      <c r="S339" s="12"/>
      <c r="T339" s="12"/>
      <c r="U339" s="12"/>
      <c r="V339" s="12"/>
      <c r="W339" s="12"/>
      <c r="X339" s="12"/>
    </row>
    <row r="340" spans="6:24" x14ac:dyDescent="0.35">
      <c r="F340" s="1"/>
      <c r="G340" s="1"/>
      <c r="H340" s="1"/>
      <c r="K340" s="11"/>
      <c r="Q340" s="1"/>
      <c r="R340" s="12"/>
      <c r="S340" s="12"/>
      <c r="T340" s="12"/>
      <c r="U340" s="12"/>
      <c r="V340" s="12"/>
      <c r="W340" s="12"/>
      <c r="X340" s="12"/>
    </row>
    <row r="341" spans="6:24" x14ac:dyDescent="0.35">
      <c r="F341" s="1"/>
      <c r="G341" s="1"/>
      <c r="H341" s="1"/>
      <c r="K341" s="11"/>
      <c r="Q341" s="1"/>
      <c r="R341" s="12"/>
      <c r="S341" s="12"/>
      <c r="T341" s="12"/>
      <c r="U341" s="12"/>
      <c r="V341" s="12"/>
      <c r="W341" s="12"/>
      <c r="X341" s="12"/>
    </row>
    <row r="342" spans="6:24" x14ac:dyDescent="0.35">
      <c r="F342" s="1"/>
      <c r="G342" s="1"/>
      <c r="H342" s="1"/>
      <c r="K342" s="11"/>
      <c r="Q342" s="1"/>
      <c r="R342" s="12"/>
      <c r="S342" s="12"/>
      <c r="T342" s="12"/>
      <c r="U342" s="12"/>
      <c r="V342" s="12"/>
      <c r="W342" s="12"/>
      <c r="X342" s="12"/>
    </row>
    <row r="343" spans="6:24" x14ac:dyDescent="0.35">
      <c r="F343" s="1"/>
      <c r="G343" s="1"/>
      <c r="H343" s="1"/>
      <c r="K343" s="11"/>
      <c r="Q343" s="1"/>
      <c r="R343" s="12"/>
      <c r="S343" s="12"/>
      <c r="T343" s="12"/>
      <c r="U343" s="12"/>
      <c r="V343" s="12"/>
      <c r="W343" s="12"/>
      <c r="X343" s="12"/>
    </row>
    <row r="344" spans="6:24" x14ac:dyDescent="0.35">
      <c r="F344" s="1"/>
      <c r="G344" s="1"/>
      <c r="H344" s="1"/>
      <c r="K344" s="11"/>
      <c r="Q344" s="1"/>
      <c r="R344" s="12"/>
      <c r="S344" s="12"/>
      <c r="T344" s="12"/>
      <c r="U344" s="12"/>
      <c r="V344" s="12"/>
      <c r="W344" s="12"/>
      <c r="X344" s="12"/>
    </row>
    <row r="345" spans="6:24" x14ac:dyDescent="0.35">
      <c r="F345" s="1"/>
      <c r="G345" s="1"/>
      <c r="H345" s="1"/>
      <c r="K345" s="11"/>
      <c r="Q345" s="1"/>
      <c r="R345" s="12"/>
      <c r="S345" s="12"/>
      <c r="T345" s="12"/>
      <c r="U345" s="12"/>
      <c r="V345" s="12"/>
      <c r="W345" s="12"/>
      <c r="X345" s="12"/>
    </row>
    <row r="346" spans="6:24" x14ac:dyDescent="0.35">
      <c r="F346" s="1"/>
      <c r="G346" s="1"/>
      <c r="H346" s="1"/>
      <c r="K346" s="11"/>
      <c r="Q346" s="1"/>
      <c r="R346" s="12"/>
      <c r="S346" s="12"/>
      <c r="T346" s="12"/>
      <c r="U346" s="12"/>
      <c r="V346" s="12"/>
      <c r="W346" s="12"/>
      <c r="X346" s="12"/>
    </row>
    <row r="347" spans="6:24" x14ac:dyDescent="0.35">
      <c r="F347" s="1"/>
      <c r="G347" s="1"/>
      <c r="H347" s="1"/>
      <c r="K347" s="11"/>
      <c r="Q347" s="1"/>
      <c r="R347" s="12"/>
      <c r="S347" s="12"/>
      <c r="T347" s="12"/>
      <c r="U347" s="12"/>
      <c r="V347" s="12"/>
      <c r="W347" s="12"/>
      <c r="X347" s="12"/>
    </row>
    <row r="348" spans="6:24" x14ac:dyDescent="0.35">
      <c r="F348" s="1"/>
      <c r="G348" s="1"/>
      <c r="H348" s="1"/>
      <c r="K348" s="11"/>
      <c r="Q348" s="1"/>
      <c r="R348" s="12"/>
      <c r="S348" s="12"/>
      <c r="T348" s="12"/>
      <c r="U348" s="12"/>
      <c r="V348" s="12"/>
      <c r="W348" s="12"/>
      <c r="X348" s="12"/>
    </row>
    <row r="349" spans="6:24" x14ac:dyDescent="0.35">
      <c r="F349" s="1"/>
      <c r="G349" s="1"/>
      <c r="H349" s="1"/>
      <c r="K349" s="11"/>
      <c r="Q349" s="1"/>
      <c r="R349" s="12"/>
      <c r="S349" s="12"/>
      <c r="T349" s="12"/>
      <c r="U349" s="12"/>
      <c r="V349" s="12"/>
      <c r="W349" s="12"/>
      <c r="X349" s="12"/>
    </row>
    <row r="350" spans="6:24" x14ac:dyDescent="0.35">
      <c r="F350" s="1"/>
      <c r="G350" s="1"/>
      <c r="H350" s="1"/>
      <c r="K350" s="11"/>
      <c r="Q350" s="1"/>
      <c r="R350" s="12"/>
      <c r="S350" s="12"/>
      <c r="T350" s="12"/>
      <c r="U350" s="12"/>
      <c r="V350" s="12"/>
      <c r="W350" s="12"/>
      <c r="X350" s="12"/>
    </row>
    <row r="351" spans="6:24" x14ac:dyDescent="0.35">
      <c r="F351" s="1"/>
      <c r="G351" s="1"/>
      <c r="H351" s="1"/>
      <c r="K351" s="11"/>
      <c r="Q351" s="1"/>
      <c r="R351" s="12"/>
      <c r="S351" s="12"/>
      <c r="T351" s="12"/>
      <c r="U351" s="12"/>
      <c r="V351" s="12"/>
      <c r="W351" s="12"/>
      <c r="X351" s="12"/>
    </row>
    <row r="352" spans="6:24" x14ac:dyDescent="0.35">
      <c r="F352" s="1"/>
      <c r="G352" s="1"/>
      <c r="H352" s="1"/>
      <c r="K352" s="11"/>
      <c r="Q352" s="1"/>
      <c r="R352" s="12"/>
      <c r="S352" s="12"/>
      <c r="T352" s="12"/>
      <c r="U352" s="12"/>
      <c r="V352" s="12"/>
      <c r="W352" s="12"/>
      <c r="X352" s="12"/>
    </row>
    <row r="353" spans="6:24" x14ac:dyDescent="0.35">
      <c r="F353" s="1"/>
      <c r="G353" s="1"/>
      <c r="H353" s="1"/>
      <c r="K353" s="11"/>
      <c r="Q353" s="1"/>
      <c r="R353" s="12"/>
      <c r="S353" s="12"/>
      <c r="T353" s="12"/>
      <c r="U353" s="12"/>
      <c r="V353" s="12"/>
      <c r="W353" s="12"/>
      <c r="X353" s="12"/>
    </row>
    <row r="354" spans="6:24" x14ac:dyDescent="0.35">
      <c r="F354" s="1"/>
      <c r="G354" s="1"/>
      <c r="H354" s="1"/>
      <c r="K354" s="11"/>
      <c r="Q354" s="1"/>
      <c r="R354" s="12"/>
      <c r="S354" s="12"/>
      <c r="T354" s="12"/>
      <c r="U354" s="12"/>
      <c r="V354" s="12"/>
      <c r="W354" s="12"/>
      <c r="X354" s="12"/>
    </row>
    <row r="355" spans="6:24" x14ac:dyDescent="0.35">
      <c r="F355" s="1"/>
      <c r="G355" s="1"/>
      <c r="H355" s="1"/>
      <c r="K355" s="11"/>
      <c r="Q355" s="1"/>
      <c r="R355" s="12"/>
      <c r="S355" s="12"/>
      <c r="T355" s="12"/>
      <c r="U355" s="12"/>
      <c r="V355" s="12"/>
      <c r="W355" s="12"/>
      <c r="X355" s="12"/>
    </row>
    <row r="356" spans="6:24" x14ac:dyDescent="0.35">
      <c r="F356" s="1"/>
      <c r="G356" s="1"/>
      <c r="H356" s="1"/>
      <c r="K356" s="11"/>
      <c r="Q356" s="1"/>
      <c r="R356" s="12"/>
      <c r="S356" s="12"/>
      <c r="T356" s="12"/>
      <c r="U356" s="12"/>
      <c r="V356" s="12"/>
      <c r="W356" s="12"/>
      <c r="X356" s="12"/>
    </row>
    <row r="357" spans="6:24" x14ac:dyDescent="0.35">
      <c r="F357" s="1"/>
      <c r="G357" s="1"/>
      <c r="H357" s="1"/>
      <c r="K357" s="11"/>
      <c r="Q357" s="1"/>
      <c r="R357" s="12"/>
      <c r="S357" s="12"/>
      <c r="T357" s="12"/>
      <c r="U357" s="12"/>
      <c r="V357" s="12"/>
      <c r="W357" s="12"/>
      <c r="X357" s="12"/>
    </row>
    <row r="358" spans="6:24" x14ac:dyDescent="0.35">
      <c r="F358" s="1"/>
      <c r="G358" s="1"/>
      <c r="H358" s="1"/>
      <c r="K358" s="11"/>
      <c r="Q358" s="1"/>
      <c r="R358" s="12"/>
      <c r="S358" s="12"/>
      <c r="T358" s="12"/>
      <c r="U358" s="12"/>
      <c r="V358" s="12"/>
      <c r="W358" s="12"/>
      <c r="X358" s="12"/>
    </row>
    <row r="359" spans="6:24" x14ac:dyDescent="0.35">
      <c r="F359" s="1"/>
      <c r="G359" s="1"/>
      <c r="H359" s="1"/>
      <c r="K359" s="11"/>
      <c r="Q359" s="1"/>
      <c r="R359" s="12"/>
      <c r="S359" s="12"/>
      <c r="T359" s="12"/>
      <c r="U359" s="12"/>
      <c r="V359" s="12"/>
      <c r="W359" s="12"/>
      <c r="X359" s="12"/>
    </row>
    <row r="360" spans="6:24" x14ac:dyDescent="0.35">
      <c r="F360" s="1"/>
      <c r="G360" s="1"/>
      <c r="H360" s="1"/>
      <c r="K360" s="11"/>
      <c r="Q360" s="1"/>
      <c r="R360" s="12"/>
      <c r="S360" s="12"/>
      <c r="T360" s="12"/>
      <c r="U360" s="12"/>
      <c r="V360" s="12"/>
      <c r="W360" s="12"/>
      <c r="X360" s="12"/>
    </row>
    <row r="361" spans="6:24" x14ac:dyDescent="0.35">
      <c r="F361" s="1"/>
      <c r="G361" s="1"/>
      <c r="H361" s="1"/>
      <c r="K361" s="11"/>
      <c r="Q361" s="1"/>
      <c r="R361" s="12"/>
      <c r="S361" s="12"/>
      <c r="T361" s="12"/>
      <c r="U361" s="12"/>
      <c r="V361" s="12"/>
      <c r="W361" s="12"/>
      <c r="X361" s="12"/>
    </row>
    <row r="362" spans="6:24" x14ac:dyDescent="0.35">
      <c r="F362" s="1"/>
      <c r="G362" s="1"/>
      <c r="H362" s="1"/>
      <c r="K362" s="11"/>
      <c r="Q362" s="1"/>
      <c r="R362" s="12"/>
      <c r="S362" s="12"/>
      <c r="T362" s="12"/>
      <c r="U362" s="12"/>
      <c r="V362" s="12"/>
      <c r="W362" s="12"/>
      <c r="X362" s="12"/>
    </row>
    <row r="363" spans="6:24" x14ac:dyDescent="0.35">
      <c r="F363" s="1"/>
      <c r="G363" s="1"/>
      <c r="H363" s="1"/>
      <c r="K363" s="11"/>
      <c r="Q363" s="1"/>
      <c r="R363" s="12"/>
      <c r="S363" s="12"/>
      <c r="T363" s="12"/>
      <c r="U363" s="12"/>
      <c r="V363" s="12"/>
      <c r="W363" s="12"/>
      <c r="X363" s="12"/>
    </row>
    <row r="364" spans="6:24" x14ac:dyDescent="0.35">
      <c r="F364" s="1"/>
      <c r="G364" s="1"/>
      <c r="H364" s="1"/>
      <c r="K364" s="11"/>
      <c r="Q364" s="1"/>
      <c r="R364" s="12"/>
      <c r="S364" s="12"/>
      <c r="T364" s="12"/>
      <c r="U364" s="12"/>
      <c r="V364" s="12"/>
      <c r="W364" s="12"/>
      <c r="X364" s="12"/>
    </row>
    <row r="365" spans="6:24" x14ac:dyDescent="0.35">
      <c r="F365" s="1"/>
      <c r="G365" s="1"/>
      <c r="H365" s="1"/>
      <c r="K365" s="11"/>
      <c r="Q365" s="1"/>
      <c r="R365" s="12"/>
      <c r="S365" s="12"/>
      <c r="T365" s="12"/>
      <c r="U365" s="12"/>
      <c r="V365" s="12"/>
      <c r="W365" s="12"/>
      <c r="X365" s="12"/>
    </row>
    <row r="366" spans="6:24" x14ac:dyDescent="0.35">
      <c r="F366" s="1"/>
      <c r="G366" s="1"/>
      <c r="H366" s="1"/>
      <c r="K366" s="11"/>
      <c r="Q366" s="1"/>
      <c r="R366" s="12"/>
      <c r="S366" s="12"/>
      <c r="T366" s="12"/>
      <c r="U366" s="12"/>
      <c r="V366" s="12"/>
      <c r="W366" s="12"/>
      <c r="X366" s="12"/>
    </row>
    <row r="367" spans="6:24" x14ac:dyDescent="0.35">
      <c r="F367" s="1"/>
      <c r="G367" s="1"/>
      <c r="H367" s="1"/>
      <c r="K367" s="11"/>
      <c r="Q367" s="1"/>
      <c r="R367" s="12"/>
      <c r="S367" s="12"/>
      <c r="T367" s="12"/>
      <c r="U367" s="12"/>
      <c r="V367" s="12"/>
      <c r="W367" s="12"/>
      <c r="X367" s="12"/>
    </row>
    <row r="368" spans="6:24" x14ac:dyDescent="0.35">
      <c r="F368" s="1"/>
      <c r="G368" s="1"/>
      <c r="H368" s="1"/>
      <c r="K368" s="11"/>
      <c r="Q368" s="1"/>
      <c r="R368" s="12"/>
      <c r="S368" s="12"/>
      <c r="T368" s="12"/>
      <c r="U368" s="12"/>
      <c r="V368" s="12"/>
      <c r="W368" s="12"/>
      <c r="X368" s="12"/>
    </row>
    <row r="369" spans="6:24" x14ac:dyDescent="0.35">
      <c r="F369" s="1"/>
      <c r="G369" s="1"/>
      <c r="H369" s="1"/>
      <c r="K369" s="11"/>
      <c r="Q369" s="1"/>
      <c r="R369" s="12"/>
      <c r="S369" s="12"/>
      <c r="T369" s="12"/>
      <c r="U369" s="12"/>
      <c r="V369" s="12"/>
      <c r="W369" s="12"/>
      <c r="X369" s="12"/>
    </row>
    <row r="370" spans="6:24" x14ac:dyDescent="0.35">
      <c r="F370" s="1"/>
      <c r="G370" s="1"/>
      <c r="H370" s="1"/>
      <c r="K370" s="11"/>
      <c r="Q370" s="1"/>
      <c r="R370" s="12"/>
      <c r="S370" s="12"/>
      <c r="T370" s="12"/>
      <c r="U370" s="12"/>
      <c r="V370" s="12"/>
      <c r="W370" s="12"/>
      <c r="X370" s="12"/>
    </row>
    <row r="371" spans="6:24" x14ac:dyDescent="0.35">
      <c r="F371" s="1"/>
      <c r="G371" s="1"/>
      <c r="H371" s="1"/>
      <c r="K371" s="11"/>
      <c r="Q371" s="1"/>
      <c r="R371" s="12"/>
      <c r="S371" s="12"/>
      <c r="T371" s="12"/>
      <c r="U371" s="12"/>
      <c r="V371" s="12"/>
      <c r="W371" s="12"/>
      <c r="X371" s="12"/>
    </row>
    <row r="372" spans="6:24" x14ac:dyDescent="0.35">
      <c r="F372" s="1"/>
      <c r="G372" s="1"/>
      <c r="H372" s="1"/>
      <c r="K372" s="11"/>
      <c r="Q372" s="1"/>
      <c r="R372" s="12"/>
      <c r="S372" s="12"/>
      <c r="T372" s="12"/>
      <c r="U372" s="12"/>
      <c r="V372" s="12"/>
      <c r="W372" s="12"/>
      <c r="X372" s="12"/>
    </row>
    <row r="373" spans="6:24" x14ac:dyDescent="0.35">
      <c r="F373" s="1"/>
      <c r="G373" s="1"/>
      <c r="H373" s="1"/>
      <c r="K373" s="11"/>
      <c r="Q373" s="1"/>
      <c r="R373" s="12"/>
      <c r="S373" s="12"/>
      <c r="T373" s="12"/>
      <c r="U373" s="12"/>
      <c r="V373" s="12"/>
      <c r="W373" s="12"/>
      <c r="X373" s="12"/>
    </row>
    <row r="374" spans="6:24" x14ac:dyDescent="0.35">
      <c r="F374" s="1"/>
      <c r="G374" s="1"/>
      <c r="H374" s="1"/>
      <c r="K374" s="11"/>
      <c r="Q374" s="1"/>
      <c r="R374" s="12"/>
      <c r="S374" s="12"/>
      <c r="T374" s="12"/>
      <c r="U374" s="12"/>
      <c r="V374" s="12"/>
      <c r="W374" s="12"/>
      <c r="X374" s="12"/>
    </row>
    <row r="375" spans="6:24" x14ac:dyDescent="0.35">
      <c r="F375" s="1"/>
      <c r="G375" s="1"/>
      <c r="H375" s="1"/>
      <c r="K375" s="11"/>
      <c r="Q375" s="1"/>
      <c r="R375" s="12"/>
      <c r="S375" s="12"/>
      <c r="T375" s="12"/>
      <c r="U375" s="12"/>
      <c r="V375" s="12"/>
      <c r="W375" s="12"/>
      <c r="X375" s="12"/>
    </row>
    <row r="376" spans="6:24" x14ac:dyDescent="0.35">
      <c r="F376" s="1"/>
      <c r="G376" s="1"/>
      <c r="H376" s="1"/>
      <c r="K376" s="11"/>
      <c r="Q376" s="1"/>
      <c r="R376" s="12"/>
      <c r="S376" s="12"/>
      <c r="T376" s="12"/>
      <c r="U376" s="12"/>
      <c r="V376" s="12"/>
      <c r="W376" s="12"/>
      <c r="X376" s="12"/>
    </row>
    <row r="377" spans="6:24" x14ac:dyDescent="0.35">
      <c r="F377" s="1"/>
      <c r="G377" s="1"/>
      <c r="H377" s="1"/>
      <c r="K377" s="11"/>
      <c r="Q377" s="1"/>
      <c r="R377" s="12"/>
      <c r="S377" s="12"/>
      <c r="T377" s="12"/>
      <c r="U377" s="12"/>
      <c r="V377" s="12"/>
      <c r="W377" s="12"/>
      <c r="X377" s="12"/>
    </row>
    <row r="378" spans="6:24" x14ac:dyDescent="0.35">
      <c r="F378" s="1"/>
      <c r="G378" s="1"/>
      <c r="H378" s="1"/>
      <c r="K378" s="11"/>
      <c r="Q378" s="1"/>
      <c r="R378" s="12"/>
      <c r="S378" s="12"/>
      <c r="T378" s="12"/>
      <c r="U378" s="12"/>
      <c r="V378" s="12"/>
      <c r="W378" s="12"/>
      <c r="X378" s="12"/>
    </row>
    <row r="379" spans="6:24" x14ac:dyDescent="0.35">
      <c r="F379" s="1"/>
      <c r="G379" s="1"/>
      <c r="H379" s="1"/>
      <c r="K379" s="11"/>
      <c r="Q379" s="1"/>
      <c r="R379" s="12"/>
      <c r="S379" s="12"/>
      <c r="T379" s="12"/>
      <c r="U379" s="12"/>
      <c r="V379" s="12"/>
      <c r="W379" s="12"/>
      <c r="X379" s="12"/>
    </row>
    <row r="380" spans="6:24" x14ac:dyDescent="0.35">
      <c r="F380" s="1"/>
      <c r="G380" s="1"/>
      <c r="H380" s="1"/>
      <c r="K380" s="11"/>
      <c r="Q380" s="1"/>
      <c r="R380" s="12"/>
      <c r="S380" s="12"/>
      <c r="T380" s="12"/>
      <c r="U380" s="12"/>
      <c r="V380" s="12"/>
      <c r="W380" s="12"/>
      <c r="X380" s="12"/>
    </row>
    <row r="381" spans="6:24" x14ac:dyDescent="0.35">
      <c r="F381" s="1"/>
      <c r="G381" s="1"/>
      <c r="H381" s="1"/>
      <c r="K381" s="11"/>
      <c r="Q381" s="1"/>
      <c r="R381" s="12"/>
      <c r="S381" s="12"/>
      <c r="T381" s="12"/>
      <c r="U381" s="12"/>
      <c r="V381" s="12"/>
      <c r="W381" s="12"/>
      <c r="X381" s="12"/>
    </row>
    <row r="382" spans="6:24" x14ac:dyDescent="0.35">
      <c r="F382" s="1"/>
      <c r="G382" s="1"/>
      <c r="H382" s="1"/>
      <c r="K382" s="11"/>
      <c r="Q382" s="1"/>
      <c r="R382" s="12"/>
      <c r="S382" s="12"/>
      <c r="T382" s="12"/>
      <c r="U382" s="12"/>
      <c r="V382" s="12"/>
      <c r="W382" s="12"/>
      <c r="X382" s="12"/>
    </row>
    <row r="383" spans="6:24" x14ac:dyDescent="0.35">
      <c r="F383" s="1"/>
      <c r="G383" s="1"/>
      <c r="H383" s="1"/>
      <c r="K383" s="11"/>
      <c r="Q383" s="1"/>
      <c r="R383" s="12"/>
      <c r="S383" s="12"/>
      <c r="T383" s="12"/>
      <c r="U383" s="12"/>
      <c r="V383" s="12"/>
      <c r="W383" s="12"/>
      <c r="X383" s="12"/>
    </row>
    <row r="384" spans="6:24" x14ac:dyDescent="0.35">
      <c r="F384" s="1"/>
      <c r="G384" s="1"/>
      <c r="H384" s="1"/>
      <c r="K384" s="11"/>
      <c r="Q384" s="1"/>
      <c r="R384" s="12"/>
      <c r="S384" s="12"/>
      <c r="T384" s="12"/>
      <c r="U384" s="12"/>
      <c r="V384" s="12"/>
      <c r="W384" s="12"/>
      <c r="X384" s="12"/>
    </row>
    <row r="385" spans="6:24" x14ac:dyDescent="0.35">
      <c r="F385" s="1"/>
      <c r="G385" s="1"/>
      <c r="H385" s="1"/>
      <c r="K385" s="11"/>
      <c r="Q385" s="1"/>
      <c r="R385" s="12"/>
      <c r="S385" s="12"/>
      <c r="T385" s="12"/>
      <c r="U385" s="12"/>
      <c r="V385" s="12"/>
      <c r="W385" s="12"/>
      <c r="X385" s="12"/>
    </row>
    <row r="386" spans="6:24" x14ac:dyDescent="0.35">
      <c r="F386" s="1"/>
      <c r="G386" s="1"/>
      <c r="H386" s="1"/>
      <c r="K386" s="11"/>
      <c r="Q386" s="1"/>
      <c r="R386" s="12"/>
      <c r="S386" s="12"/>
      <c r="T386" s="12"/>
      <c r="U386" s="12"/>
      <c r="V386" s="12"/>
      <c r="W386" s="12"/>
      <c r="X386" s="12"/>
    </row>
    <row r="387" spans="6:24" x14ac:dyDescent="0.35">
      <c r="F387" s="1"/>
      <c r="G387" s="1"/>
      <c r="H387" s="1"/>
      <c r="K387" s="11"/>
      <c r="Q387" s="1"/>
      <c r="R387" s="12"/>
      <c r="S387" s="12"/>
      <c r="T387" s="12"/>
      <c r="U387" s="12"/>
      <c r="V387" s="12"/>
      <c r="W387" s="12"/>
      <c r="X387" s="12"/>
    </row>
    <row r="388" spans="6:24" x14ac:dyDescent="0.35">
      <c r="F388" s="1"/>
      <c r="G388" s="1"/>
      <c r="H388" s="1"/>
      <c r="K388" s="11"/>
      <c r="Q388" s="1"/>
      <c r="R388" s="12"/>
      <c r="S388" s="12"/>
      <c r="T388" s="12"/>
      <c r="U388" s="12"/>
      <c r="V388" s="12"/>
      <c r="W388" s="12"/>
      <c r="X388" s="12"/>
    </row>
    <row r="389" spans="6:24" x14ac:dyDescent="0.35">
      <c r="F389" s="1"/>
      <c r="G389" s="1"/>
      <c r="H389" s="1"/>
      <c r="K389" s="11"/>
      <c r="Q389" s="1"/>
      <c r="R389" s="12"/>
      <c r="S389" s="12"/>
      <c r="T389" s="12"/>
      <c r="U389" s="12"/>
      <c r="V389" s="12"/>
      <c r="W389" s="12"/>
      <c r="X389" s="12"/>
    </row>
    <row r="390" spans="6:24" x14ac:dyDescent="0.35">
      <c r="F390" s="1"/>
      <c r="G390" s="1"/>
      <c r="H390" s="1"/>
      <c r="K390" s="11"/>
      <c r="Q390" s="1"/>
      <c r="R390" s="12"/>
      <c r="S390" s="12"/>
      <c r="T390" s="12"/>
      <c r="U390" s="12"/>
      <c r="V390" s="12"/>
      <c r="W390" s="12"/>
      <c r="X390" s="12"/>
    </row>
    <row r="391" spans="6:24" x14ac:dyDescent="0.35">
      <c r="F391" s="1"/>
      <c r="G391" s="1"/>
      <c r="H391" s="1"/>
      <c r="K391" s="11"/>
      <c r="Q391" s="1"/>
      <c r="R391" s="12"/>
      <c r="S391" s="12"/>
      <c r="T391" s="12"/>
      <c r="U391" s="12"/>
      <c r="V391" s="12"/>
      <c r="W391" s="12"/>
      <c r="X391" s="12"/>
    </row>
    <row r="392" spans="6:24" x14ac:dyDescent="0.35">
      <c r="F392" s="1"/>
      <c r="G392" s="1"/>
      <c r="H392" s="1"/>
      <c r="K392" s="11"/>
      <c r="Q392" s="1"/>
      <c r="R392" s="12"/>
      <c r="S392" s="12"/>
      <c r="T392" s="12"/>
      <c r="U392" s="12"/>
      <c r="V392" s="12"/>
      <c r="W392" s="12"/>
      <c r="X392" s="12"/>
    </row>
    <row r="393" spans="6:24" x14ac:dyDescent="0.35">
      <c r="F393" s="1"/>
      <c r="G393" s="1"/>
      <c r="H393" s="1"/>
      <c r="K393" s="11"/>
      <c r="Q393" s="1"/>
      <c r="R393" s="12"/>
      <c r="S393" s="12"/>
      <c r="T393" s="12"/>
      <c r="U393" s="12"/>
      <c r="V393" s="12"/>
      <c r="W393" s="12"/>
      <c r="X393" s="12"/>
    </row>
    <row r="394" spans="6:24" x14ac:dyDescent="0.35">
      <c r="F394" s="1"/>
      <c r="G394" s="1"/>
      <c r="H394" s="1"/>
      <c r="K394" s="11"/>
      <c r="Q394" s="1"/>
      <c r="R394" s="12"/>
      <c r="S394" s="12"/>
      <c r="T394" s="12"/>
      <c r="U394" s="12"/>
      <c r="V394" s="12"/>
      <c r="W394" s="12"/>
      <c r="X394" s="12"/>
    </row>
    <row r="395" spans="6:24" x14ac:dyDescent="0.35">
      <c r="F395" s="1"/>
      <c r="G395" s="1"/>
      <c r="H395" s="1"/>
      <c r="K395" s="11"/>
      <c r="Q395" s="1"/>
      <c r="R395" s="12"/>
      <c r="S395" s="12"/>
      <c r="T395" s="12"/>
      <c r="U395" s="12"/>
      <c r="V395" s="12"/>
      <c r="W395" s="12"/>
      <c r="X395" s="12"/>
    </row>
    <row r="396" spans="6:24" x14ac:dyDescent="0.35">
      <c r="F396" s="1"/>
      <c r="G396" s="1"/>
      <c r="H396" s="1"/>
      <c r="K396" s="11"/>
      <c r="Q396" s="1"/>
      <c r="R396" s="12"/>
      <c r="S396" s="12"/>
      <c r="T396" s="12"/>
      <c r="U396" s="12"/>
      <c r="V396" s="12"/>
      <c r="W396" s="12"/>
      <c r="X396" s="12"/>
    </row>
    <row r="397" spans="6:24" x14ac:dyDescent="0.35">
      <c r="F397" s="1"/>
      <c r="G397" s="1"/>
      <c r="H397" s="1"/>
      <c r="K397" s="11"/>
      <c r="Q397" s="1"/>
      <c r="R397" s="12"/>
      <c r="S397" s="12"/>
      <c r="T397" s="12"/>
      <c r="U397" s="12"/>
      <c r="V397" s="12"/>
      <c r="W397" s="12"/>
      <c r="X397" s="12"/>
    </row>
    <row r="398" spans="6:24" x14ac:dyDescent="0.35">
      <c r="F398" s="1"/>
      <c r="G398" s="1"/>
      <c r="H398" s="1"/>
      <c r="K398" s="11"/>
      <c r="Q398" s="1"/>
      <c r="R398" s="12"/>
      <c r="S398" s="12"/>
      <c r="T398" s="12"/>
      <c r="U398" s="12"/>
      <c r="V398" s="12"/>
      <c r="W398" s="12"/>
      <c r="X398" s="12"/>
    </row>
    <row r="399" spans="6:24" x14ac:dyDescent="0.35">
      <c r="F399" s="1"/>
      <c r="G399" s="1"/>
      <c r="H399" s="1"/>
      <c r="K399" s="11"/>
      <c r="Q399" s="1"/>
      <c r="R399" s="12"/>
      <c r="S399" s="12"/>
      <c r="T399" s="12"/>
      <c r="U399" s="12"/>
      <c r="V399" s="12"/>
      <c r="W399" s="12"/>
      <c r="X399" s="12"/>
    </row>
    <row r="400" spans="6:24" x14ac:dyDescent="0.35">
      <c r="F400" s="1"/>
      <c r="G400" s="1"/>
      <c r="H400" s="1"/>
      <c r="K400" s="11"/>
      <c r="Q400" s="1"/>
      <c r="R400" s="12"/>
      <c r="S400" s="12"/>
      <c r="T400" s="12"/>
      <c r="U400" s="12"/>
      <c r="V400" s="12"/>
      <c r="W400" s="12"/>
      <c r="X400" s="12"/>
    </row>
    <row r="401" spans="6:24" x14ac:dyDescent="0.35">
      <c r="F401" s="1"/>
      <c r="G401" s="1"/>
      <c r="H401" s="1"/>
      <c r="K401" s="11"/>
      <c r="Q401" s="1"/>
      <c r="R401" s="12"/>
      <c r="S401" s="12"/>
      <c r="T401" s="12"/>
      <c r="U401" s="12"/>
      <c r="V401" s="12"/>
      <c r="W401" s="12"/>
      <c r="X401" s="12"/>
    </row>
    <row r="402" spans="6:24" x14ac:dyDescent="0.35">
      <c r="F402" s="1"/>
      <c r="G402" s="1"/>
      <c r="H402" s="1"/>
      <c r="K402" s="11"/>
      <c r="Q402" s="1"/>
      <c r="R402" s="12"/>
      <c r="S402" s="12"/>
      <c r="T402" s="12"/>
      <c r="U402" s="12"/>
      <c r="V402" s="12"/>
      <c r="W402" s="12"/>
      <c r="X402" s="12"/>
    </row>
    <row r="403" spans="6:24" x14ac:dyDescent="0.35">
      <c r="F403" s="1"/>
      <c r="G403" s="1"/>
      <c r="H403" s="1"/>
      <c r="K403" s="11"/>
      <c r="Q403" s="1"/>
      <c r="R403" s="12"/>
      <c r="S403" s="12"/>
      <c r="T403" s="12"/>
      <c r="U403" s="12"/>
      <c r="V403" s="12"/>
      <c r="W403" s="12"/>
      <c r="X403" s="12"/>
    </row>
    <row r="404" spans="6:24" x14ac:dyDescent="0.35">
      <c r="F404" s="1"/>
      <c r="G404" s="1"/>
      <c r="H404" s="1"/>
      <c r="K404" s="11"/>
      <c r="Q404" s="1"/>
      <c r="R404" s="12"/>
      <c r="S404" s="12"/>
      <c r="T404" s="12"/>
      <c r="U404" s="12"/>
      <c r="V404" s="12"/>
      <c r="W404" s="12"/>
      <c r="X404" s="12"/>
    </row>
    <row r="405" spans="6:24" x14ac:dyDescent="0.35">
      <c r="F405" s="1"/>
      <c r="G405" s="1"/>
      <c r="H405" s="1"/>
      <c r="K405" s="11"/>
      <c r="Q405" s="1"/>
      <c r="R405" s="12"/>
      <c r="S405" s="12"/>
      <c r="T405" s="12"/>
      <c r="U405" s="12"/>
      <c r="V405" s="12"/>
      <c r="W405" s="12"/>
      <c r="X405" s="12"/>
    </row>
    <row r="406" spans="6:24" x14ac:dyDescent="0.35">
      <c r="F406" s="1"/>
      <c r="G406" s="1"/>
      <c r="H406" s="1"/>
      <c r="K406" s="11"/>
      <c r="Q406" s="1"/>
      <c r="R406" s="12"/>
      <c r="S406" s="12"/>
      <c r="T406" s="12"/>
      <c r="U406" s="12"/>
      <c r="V406" s="12"/>
      <c r="W406" s="12"/>
      <c r="X406" s="12"/>
    </row>
    <row r="407" spans="6:24" x14ac:dyDescent="0.35">
      <c r="F407" s="1"/>
      <c r="G407" s="1"/>
      <c r="H407" s="1"/>
      <c r="K407" s="11"/>
      <c r="Q407" s="1"/>
      <c r="R407" s="12"/>
      <c r="S407" s="12"/>
      <c r="T407" s="12"/>
      <c r="U407" s="12"/>
      <c r="V407" s="12"/>
      <c r="W407" s="12"/>
      <c r="X407" s="12"/>
    </row>
    <row r="408" spans="6:24" x14ac:dyDescent="0.35">
      <c r="F408" s="1"/>
      <c r="G408" s="1"/>
      <c r="H408" s="1"/>
      <c r="K408" s="11"/>
      <c r="Q408" s="1"/>
      <c r="R408" s="12"/>
      <c r="S408" s="12"/>
      <c r="T408" s="12"/>
      <c r="U408" s="12"/>
      <c r="V408" s="12"/>
      <c r="W408" s="12"/>
      <c r="X408" s="12"/>
    </row>
    <row r="409" spans="6:24" x14ac:dyDescent="0.35">
      <c r="F409" s="1"/>
      <c r="G409" s="1"/>
      <c r="H409" s="1"/>
      <c r="K409" s="11"/>
      <c r="Q409" s="1"/>
      <c r="R409" s="12"/>
      <c r="S409" s="12"/>
      <c r="T409" s="12"/>
      <c r="U409" s="12"/>
      <c r="V409" s="12"/>
      <c r="W409" s="12"/>
      <c r="X409" s="12"/>
    </row>
    <row r="410" spans="6:24" x14ac:dyDescent="0.35">
      <c r="F410" s="1"/>
      <c r="G410" s="1"/>
      <c r="H410" s="1"/>
      <c r="K410" s="11"/>
      <c r="Q410" s="1"/>
      <c r="R410" s="12"/>
      <c r="S410" s="12"/>
      <c r="T410" s="12"/>
      <c r="U410" s="12"/>
      <c r="V410" s="12"/>
      <c r="W410" s="12"/>
      <c r="X410" s="12"/>
    </row>
    <row r="411" spans="6:24" x14ac:dyDescent="0.35">
      <c r="F411" s="1"/>
      <c r="G411" s="1"/>
      <c r="H411" s="1"/>
      <c r="K411" s="11"/>
      <c r="Q411" s="1"/>
      <c r="R411" s="12"/>
      <c r="S411" s="12"/>
      <c r="T411" s="12"/>
      <c r="U411" s="12"/>
      <c r="V411" s="12"/>
      <c r="W411" s="12"/>
      <c r="X411" s="12"/>
    </row>
    <row r="412" spans="6:24" x14ac:dyDescent="0.35">
      <c r="F412" s="1"/>
      <c r="G412" s="1"/>
      <c r="H412" s="1"/>
      <c r="K412" s="11"/>
      <c r="Q412" s="1"/>
      <c r="R412" s="12"/>
      <c r="S412" s="12"/>
      <c r="T412" s="12"/>
      <c r="U412" s="12"/>
      <c r="V412" s="12"/>
      <c r="W412" s="12"/>
      <c r="X412" s="12"/>
    </row>
    <row r="413" spans="6:24" x14ac:dyDescent="0.35">
      <c r="F413" s="1"/>
      <c r="G413" s="1"/>
      <c r="H413" s="1"/>
      <c r="K413" s="11"/>
      <c r="Q413" s="1"/>
      <c r="R413" s="12"/>
      <c r="S413" s="12"/>
      <c r="T413" s="12"/>
      <c r="U413" s="12"/>
      <c r="V413" s="12"/>
      <c r="W413" s="12"/>
      <c r="X413" s="12"/>
    </row>
    <row r="414" spans="6:24" x14ac:dyDescent="0.35">
      <c r="F414" s="1"/>
      <c r="G414" s="1"/>
      <c r="H414" s="1"/>
      <c r="K414" s="11"/>
      <c r="Q414" s="1"/>
      <c r="R414" s="12"/>
      <c r="S414" s="12"/>
      <c r="T414" s="12"/>
      <c r="U414" s="12"/>
      <c r="V414" s="12"/>
      <c r="W414" s="12"/>
      <c r="X414" s="12"/>
    </row>
    <row r="415" spans="6:24" x14ac:dyDescent="0.35">
      <c r="F415" s="1"/>
      <c r="G415" s="1"/>
      <c r="H415" s="1"/>
      <c r="K415" s="11"/>
      <c r="Q415" s="1"/>
      <c r="R415" s="12"/>
      <c r="S415" s="12"/>
      <c r="T415" s="12"/>
      <c r="U415" s="12"/>
      <c r="V415" s="12"/>
      <c r="W415" s="12"/>
      <c r="X415" s="12"/>
    </row>
    <row r="416" spans="6:24" x14ac:dyDescent="0.35">
      <c r="F416" s="1"/>
      <c r="H416" s="1"/>
      <c r="K416" s="11"/>
      <c r="Q416" s="1"/>
      <c r="R416" s="12"/>
      <c r="S416" s="12"/>
      <c r="T416" s="12"/>
      <c r="U416" s="12"/>
      <c r="V416" s="12"/>
      <c r="W416" s="12"/>
      <c r="X416" s="12"/>
    </row>
    <row r="417" spans="6:24" x14ac:dyDescent="0.35">
      <c r="F417" s="1"/>
      <c r="G417" s="1"/>
      <c r="H417" s="1"/>
      <c r="K417" s="11"/>
      <c r="Q417" s="1"/>
      <c r="R417" s="12"/>
      <c r="S417" s="12"/>
      <c r="T417" s="12"/>
      <c r="U417" s="12"/>
      <c r="V417" s="12"/>
      <c r="W417" s="12"/>
      <c r="X417" s="12"/>
    </row>
    <row r="418" spans="6:24" x14ac:dyDescent="0.35">
      <c r="F418" s="1"/>
      <c r="G418" s="1"/>
      <c r="H418" s="1"/>
      <c r="K418" s="11"/>
      <c r="Q418" s="1"/>
      <c r="R418" s="12"/>
      <c r="S418" s="12"/>
      <c r="T418" s="12"/>
      <c r="U418" s="12"/>
      <c r="V418" s="12"/>
      <c r="W418" s="12"/>
      <c r="X418" s="12"/>
    </row>
    <row r="419" spans="6:24" x14ac:dyDescent="0.35">
      <c r="F419" s="1"/>
      <c r="G419" s="1"/>
      <c r="H419" s="1"/>
      <c r="K419" s="11"/>
      <c r="Q419" s="1"/>
      <c r="R419" s="12"/>
      <c r="S419" s="12"/>
      <c r="T419" s="12"/>
      <c r="U419" s="12"/>
      <c r="V419" s="12"/>
      <c r="W419" s="12"/>
      <c r="X419" s="12"/>
    </row>
    <row r="420" spans="6:24" x14ac:dyDescent="0.35">
      <c r="F420" s="1"/>
      <c r="G420" s="1"/>
      <c r="H420" s="1"/>
      <c r="K420" s="11"/>
      <c r="Q420" s="1"/>
      <c r="R420" s="12"/>
      <c r="S420" s="12"/>
      <c r="T420" s="12"/>
      <c r="U420" s="12"/>
      <c r="V420" s="12"/>
      <c r="W420" s="12"/>
      <c r="X420" s="12"/>
    </row>
    <row r="421" spans="6:24" x14ac:dyDescent="0.35">
      <c r="F421" s="1"/>
      <c r="G421" s="1"/>
      <c r="H421" s="1"/>
      <c r="K421" s="11"/>
      <c r="Q421" s="1"/>
      <c r="R421" s="12"/>
      <c r="S421" s="12"/>
      <c r="T421" s="12"/>
      <c r="U421" s="12"/>
      <c r="V421" s="12"/>
      <c r="W421" s="12"/>
      <c r="X421" s="12"/>
    </row>
    <row r="422" spans="6:24" x14ac:dyDescent="0.35">
      <c r="F422" s="1"/>
      <c r="G422" s="1"/>
      <c r="H422" s="1"/>
      <c r="K422" s="11"/>
      <c r="Q422" s="1"/>
      <c r="R422" s="12"/>
      <c r="S422" s="12"/>
      <c r="T422" s="12"/>
      <c r="U422" s="12"/>
      <c r="V422" s="12"/>
      <c r="W422" s="12"/>
      <c r="X422" s="12"/>
    </row>
    <row r="423" spans="6:24" x14ac:dyDescent="0.35">
      <c r="F423" s="1"/>
      <c r="G423" s="1"/>
      <c r="H423" s="1"/>
      <c r="K423" s="11"/>
      <c r="Q423" s="1"/>
      <c r="R423" s="12"/>
      <c r="S423" s="12"/>
      <c r="T423" s="12"/>
      <c r="U423" s="12"/>
      <c r="V423" s="12"/>
      <c r="W423" s="12"/>
      <c r="X423" s="12"/>
    </row>
    <row r="424" spans="6:24" x14ac:dyDescent="0.35">
      <c r="F424" s="1"/>
      <c r="G424" s="1"/>
      <c r="H424" s="1"/>
      <c r="K424" s="11"/>
      <c r="Q424" s="1"/>
      <c r="R424" s="12"/>
      <c r="S424" s="12"/>
      <c r="T424" s="12"/>
      <c r="U424" s="12"/>
      <c r="V424" s="12"/>
      <c r="W424" s="12"/>
      <c r="X424" s="12"/>
    </row>
    <row r="425" spans="6:24" x14ac:dyDescent="0.35">
      <c r="F425" s="1"/>
      <c r="G425" s="1"/>
      <c r="H425" s="1"/>
      <c r="K425" s="11"/>
      <c r="Q425" s="1"/>
      <c r="R425" s="12"/>
      <c r="S425" s="12"/>
      <c r="T425" s="12"/>
      <c r="U425" s="12"/>
      <c r="V425" s="12"/>
      <c r="W425" s="12"/>
      <c r="X425" s="12"/>
    </row>
    <row r="426" spans="6:24" x14ac:dyDescent="0.35">
      <c r="F426" s="1"/>
      <c r="G426" s="1"/>
      <c r="H426" s="1"/>
      <c r="K426" s="11"/>
      <c r="Q426" s="1"/>
      <c r="R426" s="12"/>
      <c r="S426" s="12"/>
      <c r="T426" s="12"/>
      <c r="U426" s="12"/>
      <c r="V426" s="12"/>
      <c r="W426" s="12"/>
      <c r="X426" s="12"/>
    </row>
    <row r="427" spans="6:24" x14ac:dyDescent="0.35">
      <c r="F427" s="1"/>
      <c r="G427" s="1"/>
      <c r="H427" s="1"/>
      <c r="K427" s="11"/>
      <c r="Q427" s="1"/>
      <c r="R427" s="12"/>
      <c r="S427" s="12"/>
      <c r="T427" s="12"/>
      <c r="U427" s="12"/>
      <c r="V427" s="12"/>
      <c r="W427" s="12"/>
      <c r="X427" s="12"/>
    </row>
    <row r="428" spans="6:24" x14ac:dyDescent="0.35">
      <c r="F428" s="1"/>
      <c r="G428" s="1"/>
      <c r="H428" s="1"/>
      <c r="K428" s="11"/>
      <c r="Q428" s="1"/>
      <c r="R428" s="12"/>
      <c r="S428" s="12"/>
      <c r="T428" s="12"/>
      <c r="U428" s="12"/>
      <c r="V428" s="12"/>
      <c r="W428" s="12"/>
      <c r="X428" s="12"/>
    </row>
    <row r="429" spans="6:24" x14ac:dyDescent="0.35">
      <c r="F429" s="1"/>
      <c r="G429" s="1"/>
      <c r="H429" s="1"/>
      <c r="K429" s="11"/>
      <c r="Q429" s="1"/>
      <c r="R429" s="12"/>
      <c r="S429" s="12"/>
      <c r="T429" s="12"/>
      <c r="U429" s="12"/>
      <c r="V429" s="12"/>
      <c r="W429" s="12"/>
      <c r="X429" s="12"/>
    </row>
    <row r="430" spans="6:24" x14ac:dyDescent="0.35">
      <c r="F430" s="1"/>
      <c r="G430" s="1"/>
      <c r="H430" s="1"/>
      <c r="K430" s="11"/>
      <c r="Q430" s="1"/>
      <c r="R430" s="12"/>
      <c r="S430" s="12"/>
      <c r="T430" s="12"/>
      <c r="U430" s="12"/>
      <c r="V430" s="12"/>
      <c r="W430" s="12"/>
      <c r="X430" s="12"/>
    </row>
    <row r="431" spans="6:24" x14ac:dyDescent="0.35">
      <c r="F431" s="1"/>
      <c r="G431" s="1"/>
      <c r="H431" s="1"/>
      <c r="K431" s="11"/>
      <c r="Q431" s="1"/>
      <c r="R431" s="12"/>
      <c r="S431" s="12"/>
      <c r="T431" s="12"/>
      <c r="U431" s="12"/>
      <c r="V431" s="12"/>
      <c r="W431" s="12"/>
      <c r="X431" s="12"/>
    </row>
    <row r="432" spans="6:24" x14ac:dyDescent="0.35">
      <c r="F432" s="1"/>
      <c r="G432" s="1"/>
      <c r="H432" s="1"/>
      <c r="K432" s="11"/>
      <c r="Q432" s="1"/>
      <c r="R432" s="12"/>
      <c r="S432" s="12"/>
      <c r="T432" s="12"/>
      <c r="U432" s="12"/>
      <c r="V432" s="12"/>
      <c r="W432" s="12"/>
      <c r="X432" s="12"/>
    </row>
    <row r="433" spans="6:24" x14ac:dyDescent="0.35">
      <c r="F433" s="1"/>
      <c r="G433" s="1"/>
      <c r="H433" s="1"/>
      <c r="K433" s="11"/>
      <c r="Q433" s="1"/>
      <c r="R433" s="12"/>
      <c r="S433" s="12"/>
      <c r="T433" s="12"/>
      <c r="U433" s="12"/>
      <c r="V433" s="12"/>
      <c r="W433" s="12"/>
      <c r="X433" s="12"/>
    </row>
    <row r="434" spans="6:24" x14ac:dyDescent="0.35">
      <c r="F434" s="1"/>
      <c r="G434" s="1"/>
      <c r="H434" s="1"/>
      <c r="K434" s="11"/>
      <c r="Q434" s="1"/>
      <c r="R434" s="12"/>
      <c r="S434" s="12"/>
      <c r="T434" s="12"/>
      <c r="U434" s="12"/>
      <c r="V434" s="12"/>
      <c r="W434" s="12"/>
      <c r="X434" s="12"/>
    </row>
    <row r="435" spans="6:24" x14ac:dyDescent="0.35">
      <c r="F435" s="1"/>
      <c r="G435" s="1"/>
      <c r="H435" s="1"/>
      <c r="K435" s="11"/>
      <c r="Q435" s="1"/>
      <c r="R435" s="12"/>
      <c r="S435" s="12"/>
      <c r="T435" s="12"/>
      <c r="U435" s="12"/>
      <c r="V435" s="12"/>
      <c r="W435" s="12"/>
      <c r="X435" s="12"/>
    </row>
    <row r="436" spans="6:24" x14ac:dyDescent="0.35">
      <c r="F436" s="1"/>
      <c r="G436" s="1"/>
      <c r="H436" s="1"/>
      <c r="K436" s="11"/>
      <c r="Q436" s="1"/>
      <c r="R436" s="12"/>
      <c r="S436" s="12"/>
      <c r="T436" s="12"/>
      <c r="U436" s="12"/>
      <c r="V436" s="12"/>
      <c r="W436" s="12"/>
      <c r="X436" s="12"/>
    </row>
    <row r="437" spans="6:24" x14ac:dyDescent="0.35">
      <c r="F437" s="1"/>
      <c r="G437" s="1"/>
      <c r="H437" s="1"/>
      <c r="K437" s="11"/>
      <c r="Q437" s="1"/>
      <c r="R437" s="12"/>
      <c r="S437" s="12"/>
      <c r="T437" s="12"/>
      <c r="U437" s="12"/>
      <c r="V437" s="12"/>
      <c r="W437" s="12"/>
      <c r="X437" s="12"/>
    </row>
    <row r="438" spans="6:24" x14ac:dyDescent="0.35">
      <c r="F438" s="1"/>
      <c r="G438" s="1"/>
      <c r="H438" s="1"/>
      <c r="K438" s="11"/>
      <c r="Q438" s="1"/>
      <c r="R438" s="12"/>
      <c r="S438" s="12"/>
      <c r="T438" s="12"/>
      <c r="U438" s="12"/>
      <c r="V438" s="12"/>
      <c r="W438" s="12"/>
      <c r="X438" s="12"/>
    </row>
    <row r="439" spans="6:24" x14ac:dyDescent="0.35">
      <c r="F439" s="1"/>
      <c r="G439" s="1"/>
      <c r="H439" s="1"/>
      <c r="K439" s="11"/>
      <c r="Q439" s="1"/>
      <c r="R439" s="12"/>
      <c r="S439" s="12"/>
      <c r="T439" s="12"/>
      <c r="U439" s="12"/>
      <c r="V439" s="12"/>
      <c r="W439" s="12"/>
      <c r="X439" s="12"/>
    </row>
    <row r="440" spans="6:24" x14ac:dyDescent="0.35">
      <c r="F440" s="1"/>
      <c r="G440" s="1"/>
      <c r="H440" s="1"/>
      <c r="K440" s="11"/>
      <c r="Q440" s="1"/>
      <c r="R440" s="12"/>
      <c r="S440" s="12"/>
      <c r="T440" s="12"/>
      <c r="U440" s="12"/>
      <c r="V440" s="12"/>
      <c r="W440" s="12"/>
      <c r="X440" s="12"/>
    </row>
    <row r="441" spans="6:24" x14ac:dyDescent="0.35">
      <c r="F441" s="1"/>
      <c r="G441" s="1"/>
      <c r="H441" s="1"/>
      <c r="K441" s="11"/>
      <c r="Q441" s="1"/>
      <c r="R441" s="12"/>
      <c r="S441" s="12"/>
      <c r="T441" s="12"/>
      <c r="U441" s="12"/>
      <c r="V441" s="12"/>
      <c r="W441" s="12"/>
      <c r="X441" s="12"/>
    </row>
    <row r="442" spans="6:24" x14ac:dyDescent="0.35">
      <c r="F442" s="1"/>
      <c r="G442" s="1"/>
      <c r="H442" s="1"/>
      <c r="K442" s="11"/>
      <c r="Q442" s="1"/>
      <c r="R442" s="12"/>
      <c r="S442" s="12"/>
      <c r="T442" s="12"/>
      <c r="U442" s="12"/>
      <c r="V442" s="12"/>
      <c r="W442" s="12"/>
      <c r="X442" s="12"/>
    </row>
    <row r="443" spans="6:24" x14ac:dyDescent="0.35">
      <c r="F443" s="1"/>
      <c r="G443" s="1"/>
      <c r="H443" s="1"/>
      <c r="K443" s="11"/>
      <c r="Q443" s="1"/>
      <c r="R443" s="12"/>
      <c r="S443" s="12"/>
      <c r="T443" s="12"/>
      <c r="U443" s="12"/>
      <c r="V443" s="12"/>
      <c r="W443" s="12"/>
      <c r="X443" s="12"/>
    </row>
    <row r="444" spans="6:24" x14ac:dyDescent="0.35">
      <c r="F444" s="1"/>
      <c r="G444" s="1"/>
      <c r="H444" s="1"/>
      <c r="K444" s="11"/>
      <c r="Q444" s="1"/>
      <c r="R444" s="12"/>
      <c r="S444" s="12"/>
      <c r="T444" s="12"/>
      <c r="U444" s="12"/>
      <c r="V444" s="12"/>
      <c r="W444" s="12"/>
      <c r="X444" s="12"/>
    </row>
    <row r="445" spans="6:24" x14ac:dyDescent="0.35">
      <c r="F445" s="1"/>
      <c r="G445" s="1"/>
      <c r="H445" s="1"/>
      <c r="K445" s="11"/>
      <c r="Q445" s="1"/>
      <c r="R445" s="12"/>
      <c r="S445" s="12"/>
      <c r="T445" s="12"/>
      <c r="U445" s="12"/>
      <c r="V445" s="12"/>
      <c r="W445" s="12"/>
      <c r="X445" s="12"/>
    </row>
    <row r="446" spans="6:24" x14ac:dyDescent="0.35">
      <c r="F446" s="1"/>
      <c r="G446" s="1"/>
      <c r="H446" s="1"/>
      <c r="K446" s="11"/>
      <c r="Q446" s="1"/>
      <c r="R446" s="12"/>
      <c r="S446" s="12"/>
      <c r="T446" s="12"/>
      <c r="U446" s="12"/>
      <c r="V446" s="12"/>
      <c r="W446" s="12"/>
      <c r="X446" s="12"/>
    </row>
    <row r="447" spans="6:24" x14ac:dyDescent="0.35">
      <c r="F447" s="1"/>
      <c r="G447" s="1"/>
      <c r="H447" s="1"/>
      <c r="K447" s="11"/>
      <c r="Q447" s="1"/>
      <c r="R447" s="12"/>
      <c r="S447" s="12"/>
      <c r="T447" s="12"/>
      <c r="U447" s="12"/>
      <c r="V447" s="12"/>
      <c r="W447" s="12"/>
      <c r="X447" s="12"/>
    </row>
    <row r="448" spans="6:24" x14ac:dyDescent="0.35">
      <c r="F448" s="1"/>
      <c r="G448" s="1"/>
      <c r="H448" s="1"/>
      <c r="K448" s="11"/>
      <c r="Q448" s="1"/>
      <c r="R448" s="12"/>
      <c r="S448" s="12"/>
      <c r="T448" s="12"/>
      <c r="U448" s="12"/>
      <c r="V448" s="12"/>
      <c r="W448" s="12"/>
      <c r="X448" s="12"/>
    </row>
    <row r="449" spans="6:24" x14ac:dyDescent="0.35">
      <c r="F449" s="1"/>
      <c r="G449" s="1"/>
      <c r="H449" s="1"/>
      <c r="K449" s="11"/>
      <c r="Q449" s="1"/>
      <c r="R449" s="12"/>
      <c r="S449" s="12"/>
      <c r="T449" s="12"/>
      <c r="U449" s="12"/>
      <c r="V449" s="12"/>
      <c r="W449" s="12"/>
      <c r="X449" s="12"/>
    </row>
    <row r="450" spans="6:24" x14ac:dyDescent="0.35">
      <c r="F450" s="1"/>
      <c r="G450" s="1"/>
      <c r="H450" s="1"/>
      <c r="K450" s="11"/>
      <c r="Q450" s="1"/>
      <c r="R450" s="12"/>
      <c r="S450" s="12"/>
      <c r="T450" s="12"/>
      <c r="U450" s="12"/>
      <c r="V450" s="12"/>
      <c r="W450" s="12"/>
      <c r="X450" s="12"/>
    </row>
    <row r="451" spans="6:24" x14ac:dyDescent="0.35">
      <c r="F451" s="1"/>
      <c r="G451" s="1"/>
      <c r="H451" s="1"/>
      <c r="K451" s="11"/>
      <c r="Q451" s="1"/>
      <c r="R451" s="12"/>
      <c r="S451" s="12"/>
      <c r="T451" s="12"/>
      <c r="U451" s="12"/>
      <c r="V451" s="12"/>
      <c r="W451" s="12"/>
      <c r="X451" s="12"/>
    </row>
    <row r="452" spans="6:24" x14ac:dyDescent="0.35">
      <c r="F452" s="1"/>
      <c r="G452" s="1"/>
      <c r="H452" s="1"/>
      <c r="K452" s="11"/>
      <c r="Q452" s="1"/>
      <c r="R452" s="12"/>
      <c r="S452" s="12"/>
      <c r="T452" s="12"/>
      <c r="U452" s="12"/>
      <c r="V452" s="12"/>
      <c r="W452" s="12"/>
      <c r="X452" s="12"/>
    </row>
    <row r="453" spans="6:24" x14ac:dyDescent="0.35">
      <c r="F453" s="1"/>
      <c r="G453" s="1"/>
      <c r="H453" s="1"/>
      <c r="K453" s="11"/>
      <c r="Q453" s="1"/>
      <c r="R453" s="12"/>
      <c r="S453" s="12"/>
      <c r="T453" s="12"/>
      <c r="U453" s="12"/>
      <c r="V453" s="12"/>
      <c r="W453" s="12"/>
      <c r="X453" s="12"/>
    </row>
    <row r="454" spans="6:24" x14ac:dyDescent="0.35">
      <c r="F454" s="1"/>
      <c r="G454" s="1"/>
      <c r="H454" s="1"/>
      <c r="K454" s="11"/>
      <c r="Q454" s="1"/>
      <c r="R454" s="12"/>
      <c r="S454" s="12"/>
      <c r="T454" s="12"/>
      <c r="U454" s="12"/>
      <c r="V454" s="12"/>
      <c r="W454" s="12"/>
      <c r="X454" s="12"/>
    </row>
    <row r="455" spans="6:24" x14ac:dyDescent="0.35">
      <c r="F455" s="1"/>
      <c r="G455" s="1"/>
      <c r="H455" s="1"/>
      <c r="K455" s="11"/>
      <c r="Q455" s="1"/>
      <c r="R455" s="12"/>
      <c r="S455" s="12"/>
      <c r="T455" s="12"/>
      <c r="U455" s="12"/>
      <c r="V455" s="12"/>
      <c r="W455" s="12"/>
      <c r="X455" s="12"/>
    </row>
    <row r="456" spans="6:24" x14ac:dyDescent="0.35">
      <c r="F456" s="1"/>
      <c r="G456" s="1"/>
      <c r="H456" s="1"/>
      <c r="K456" s="11"/>
      <c r="Q456" s="1"/>
      <c r="R456" s="12"/>
      <c r="S456" s="12"/>
      <c r="T456" s="12"/>
      <c r="U456" s="12"/>
      <c r="V456" s="12"/>
      <c r="W456" s="12"/>
      <c r="X456" s="12"/>
    </row>
    <row r="457" spans="6:24" x14ac:dyDescent="0.35">
      <c r="F457" s="1"/>
      <c r="G457" s="1"/>
      <c r="H457" s="1"/>
      <c r="K457" s="11"/>
      <c r="Q457" s="1"/>
      <c r="R457" s="12"/>
      <c r="S457" s="12"/>
      <c r="T457" s="12"/>
      <c r="U457" s="12"/>
      <c r="V457" s="12"/>
      <c r="W457" s="12"/>
      <c r="X457" s="12"/>
    </row>
    <row r="458" spans="6:24" x14ac:dyDescent="0.35">
      <c r="F458" s="1"/>
      <c r="G458" s="1"/>
      <c r="H458" s="1"/>
      <c r="K458" s="11"/>
      <c r="Q458" s="1"/>
      <c r="R458" s="12"/>
      <c r="S458" s="12"/>
      <c r="T458" s="12"/>
      <c r="U458" s="12"/>
      <c r="V458" s="12"/>
      <c r="W458" s="12"/>
      <c r="X458" s="12"/>
    </row>
    <row r="459" spans="6:24" x14ac:dyDescent="0.35">
      <c r="F459" s="1"/>
      <c r="G459" s="1"/>
      <c r="H459" s="1"/>
      <c r="K459" s="11"/>
      <c r="Q459" s="1"/>
      <c r="R459" s="12"/>
      <c r="S459" s="12"/>
      <c r="T459" s="12"/>
      <c r="U459" s="12"/>
      <c r="V459" s="12"/>
      <c r="W459" s="12"/>
      <c r="X459" s="12"/>
    </row>
    <row r="460" spans="6:24" x14ac:dyDescent="0.35">
      <c r="F460" s="1"/>
      <c r="G460" s="1"/>
      <c r="H460" s="1"/>
      <c r="K460" s="11"/>
      <c r="Q460" s="1"/>
      <c r="R460" s="12"/>
      <c r="S460" s="12"/>
      <c r="T460" s="12"/>
      <c r="U460" s="12"/>
      <c r="V460" s="12"/>
      <c r="W460" s="12"/>
      <c r="X460" s="12"/>
    </row>
    <row r="461" spans="6:24" x14ac:dyDescent="0.35">
      <c r="F461" s="1"/>
      <c r="G461" s="1"/>
      <c r="H461" s="1"/>
      <c r="K461" s="11"/>
      <c r="Q461" s="1"/>
      <c r="R461" s="12"/>
      <c r="S461" s="12"/>
      <c r="T461" s="12"/>
      <c r="U461" s="12"/>
      <c r="V461" s="12"/>
      <c r="W461" s="12"/>
      <c r="X461" s="12"/>
    </row>
    <row r="462" spans="6:24" x14ac:dyDescent="0.35">
      <c r="F462" s="1"/>
      <c r="G462" s="1"/>
      <c r="H462" s="1"/>
      <c r="K462" s="11"/>
      <c r="Q462" s="1"/>
      <c r="R462" s="12"/>
      <c r="S462" s="12"/>
      <c r="T462" s="12"/>
      <c r="U462" s="12"/>
      <c r="V462" s="12"/>
      <c r="W462" s="12"/>
      <c r="X462" s="12"/>
    </row>
    <row r="463" spans="6:24" x14ac:dyDescent="0.35">
      <c r="F463" s="1"/>
      <c r="G463" s="1"/>
      <c r="H463" s="1"/>
      <c r="K463" s="11"/>
      <c r="Q463" s="1"/>
      <c r="R463" s="12"/>
      <c r="S463" s="12"/>
      <c r="T463" s="12"/>
      <c r="U463" s="12"/>
      <c r="V463" s="12"/>
      <c r="W463" s="12"/>
      <c r="X463" s="12"/>
    </row>
    <row r="464" spans="6:24" x14ac:dyDescent="0.35">
      <c r="F464" s="1"/>
      <c r="G464" s="1"/>
      <c r="H464" s="1"/>
      <c r="K464" s="11"/>
      <c r="Q464" s="1"/>
      <c r="R464" s="12"/>
      <c r="S464" s="12"/>
      <c r="T464" s="12"/>
      <c r="U464" s="12"/>
      <c r="V464" s="12"/>
      <c r="W464" s="12"/>
      <c r="X464" s="12"/>
    </row>
    <row r="465" spans="6:24" x14ac:dyDescent="0.35">
      <c r="F465" s="1"/>
      <c r="G465" s="1"/>
      <c r="H465" s="1"/>
      <c r="K465" s="11"/>
      <c r="Q465" s="1"/>
      <c r="R465" s="12"/>
      <c r="S465" s="12"/>
      <c r="T465" s="12"/>
      <c r="U465" s="12"/>
      <c r="V465" s="12"/>
      <c r="W465" s="12"/>
      <c r="X465" s="12"/>
    </row>
    <row r="466" spans="6:24" x14ac:dyDescent="0.35">
      <c r="F466" s="1"/>
      <c r="G466" s="1"/>
      <c r="H466" s="1"/>
      <c r="K466" s="11"/>
      <c r="Q466" s="1"/>
      <c r="R466" s="12"/>
      <c r="S466" s="12"/>
      <c r="T466" s="12"/>
      <c r="U466" s="12"/>
      <c r="V466" s="12"/>
      <c r="W466" s="12"/>
      <c r="X466" s="12"/>
    </row>
    <row r="467" spans="6:24" x14ac:dyDescent="0.35">
      <c r="F467" s="1"/>
      <c r="G467" s="1"/>
      <c r="H467" s="1"/>
      <c r="K467" s="11"/>
      <c r="Q467" s="1"/>
      <c r="R467" s="12"/>
      <c r="S467" s="12"/>
      <c r="T467" s="12"/>
      <c r="U467" s="12"/>
      <c r="V467" s="12"/>
      <c r="W467" s="12"/>
      <c r="X467" s="12"/>
    </row>
    <row r="468" spans="6:24" x14ac:dyDescent="0.35">
      <c r="F468" s="1"/>
      <c r="G468" s="1"/>
      <c r="H468" s="1"/>
      <c r="K468" s="11"/>
      <c r="Q468" s="1"/>
      <c r="R468" s="12"/>
      <c r="S468" s="12"/>
      <c r="T468" s="12"/>
      <c r="U468" s="12"/>
      <c r="V468" s="12"/>
      <c r="W468" s="12"/>
      <c r="X468" s="12"/>
    </row>
    <row r="469" spans="6:24" x14ac:dyDescent="0.35">
      <c r="F469" s="1"/>
      <c r="G469" s="1"/>
      <c r="H469" s="1"/>
      <c r="K469" s="11"/>
      <c r="Q469" s="1"/>
      <c r="R469" s="12"/>
      <c r="S469" s="12"/>
      <c r="T469" s="12"/>
      <c r="U469" s="12"/>
      <c r="V469" s="12"/>
      <c r="W469" s="12"/>
      <c r="X469" s="12"/>
    </row>
    <row r="470" spans="6:24" x14ac:dyDescent="0.35">
      <c r="F470" s="1"/>
      <c r="G470" s="1"/>
      <c r="H470" s="1"/>
      <c r="K470" s="11"/>
      <c r="Q470" s="1"/>
      <c r="R470" s="12"/>
      <c r="S470" s="12"/>
      <c r="T470" s="12"/>
      <c r="U470" s="12"/>
      <c r="V470" s="12"/>
      <c r="W470" s="12"/>
      <c r="X470" s="12"/>
    </row>
    <row r="471" spans="6:24" x14ac:dyDescent="0.35">
      <c r="F471" s="1"/>
      <c r="G471" s="1"/>
      <c r="H471" s="1"/>
      <c r="K471" s="11"/>
      <c r="Q471" s="1"/>
      <c r="R471" s="12"/>
      <c r="S471" s="12"/>
      <c r="T471" s="12"/>
      <c r="U471" s="12"/>
      <c r="V471" s="12"/>
      <c r="W471" s="12"/>
      <c r="X471" s="12"/>
    </row>
    <row r="472" spans="6:24" x14ac:dyDescent="0.35">
      <c r="F472" s="1"/>
      <c r="G472" s="1"/>
      <c r="H472" s="1"/>
      <c r="K472" s="11"/>
      <c r="Q472" s="1"/>
      <c r="R472" s="12"/>
      <c r="S472" s="12"/>
      <c r="T472" s="12"/>
      <c r="U472" s="12"/>
      <c r="V472" s="12"/>
      <c r="W472" s="12"/>
      <c r="X472" s="12"/>
    </row>
    <row r="473" spans="6:24" x14ac:dyDescent="0.35">
      <c r="F473" s="1"/>
      <c r="G473" s="1"/>
      <c r="H473" s="1"/>
      <c r="K473" s="11"/>
      <c r="Q473" s="1"/>
      <c r="R473" s="12"/>
      <c r="S473" s="12"/>
      <c r="T473" s="12"/>
      <c r="U473" s="12"/>
      <c r="V473" s="12"/>
      <c r="W473" s="12"/>
      <c r="X473" s="12"/>
    </row>
    <row r="474" spans="6:24" x14ac:dyDescent="0.35">
      <c r="F474" s="1"/>
      <c r="G474" s="1"/>
      <c r="H474" s="1"/>
      <c r="K474" s="11"/>
      <c r="Q474" s="1"/>
      <c r="R474" s="12"/>
      <c r="S474" s="12"/>
      <c r="T474" s="12"/>
      <c r="U474" s="12"/>
      <c r="V474" s="12"/>
      <c r="W474" s="12"/>
      <c r="X474" s="12"/>
    </row>
    <row r="475" spans="6:24" x14ac:dyDescent="0.35">
      <c r="F475" s="1"/>
      <c r="G475" s="1"/>
      <c r="H475" s="1"/>
      <c r="K475" s="11"/>
      <c r="Q475" s="1"/>
      <c r="R475" s="12"/>
      <c r="S475" s="12"/>
      <c r="T475" s="12"/>
      <c r="U475" s="12"/>
      <c r="V475" s="12"/>
      <c r="W475" s="12"/>
      <c r="X475" s="12"/>
    </row>
    <row r="476" spans="6:24" x14ac:dyDescent="0.35">
      <c r="F476" s="1"/>
      <c r="G476" s="1"/>
      <c r="H476" s="1"/>
      <c r="K476" s="11"/>
      <c r="Q476" s="1"/>
      <c r="R476" s="12"/>
      <c r="S476" s="12"/>
      <c r="T476" s="12"/>
      <c r="U476" s="12"/>
      <c r="V476" s="12"/>
      <c r="W476" s="12"/>
      <c r="X476" s="12"/>
    </row>
    <row r="477" spans="6:24" x14ac:dyDescent="0.35">
      <c r="F477" s="1"/>
      <c r="G477" s="1"/>
      <c r="H477" s="1"/>
      <c r="K477" s="11"/>
      <c r="Q477" s="1"/>
      <c r="R477" s="12"/>
      <c r="S477" s="12"/>
      <c r="T477" s="12"/>
      <c r="U477" s="12"/>
      <c r="V477" s="12"/>
      <c r="W477" s="12"/>
      <c r="X477" s="12"/>
    </row>
    <row r="478" spans="6:24" x14ac:dyDescent="0.35">
      <c r="F478" s="1"/>
      <c r="G478" s="1"/>
      <c r="H478" s="1"/>
      <c r="K478" s="11"/>
      <c r="Q478" s="1"/>
      <c r="R478" s="12"/>
      <c r="S478" s="12"/>
      <c r="T478" s="12"/>
      <c r="U478" s="12"/>
      <c r="V478" s="12"/>
      <c r="W478" s="12"/>
      <c r="X478" s="12"/>
    </row>
    <row r="479" spans="6:24" x14ac:dyDescent="0.35">
      <c r="F479" s="1"/>
      <c r="G479" s="1"/>
      <c r="H479" s="1"/>
      <c r="K479" s="11"/>
      <c r="Q479" s="1"/>
      <c r="R479" s="12"/>
      <c r="S479" s="12"/>
      <c r="T479" s="12"/>
      <c r="U479" s="12"/>
      <c r="V479" s="12"/>
      <c r="W479" s="12"/>
      <c r="X479" s="12"/>
    </row>
    <row r="480" spans="6:24" x14ac:dyDescent="0.35">
      <c r="F480" s="1"/>
      <c r="G480" s="1"/>
      <c r="H480" s="1"/>
      <c r="K480" s="11"/>
      <c r="Q480" s="1"/>
      <c r="R480" s="12"/>
      <c r="S480" s="12"/>
      <c r="T480" s="12"/>
      <c r="U480" s="12"/>
      <c r="V480" s="12"/>
      <c r="W480" s="12"/>
      <c r="X480" s="12"/>
    </row>
    <row r="481" spans="6:24" x14ac:dyDescent="0.35">
      <c r="F481" s="1"/>
      <c r="G481" s="1"/>
      <c r="H481" s="1"/>
      <c r="K481" s="11"/>
      <c r="Q481" s="1"/>
      <c r="R481" s="12"/>
      <c r="S481" s="12"/>
      <c r="T481" s="12"/>
      <c r="U481" s="12"/>
      <c r="V481" s="12"/>
      <c r="W481" s="12"/>
      <c r="X481" s="12"/>
    </row>
    <row r="482" spans="6:24" x14ac:dyDescent="0.35">
      <c r="F482" s="1"/>
      <c r="G482" s="92"/>
      <c r="H482" s="1"/>
      <c r="K482" s="11"/>
      <c r="Q482" s="1"/>
      <c r="R482" s="12"/>
      <c r="S482" s="12"/>
      <c r="T482" s="12"/>
      <c r="U482" s="12"/>
      <c r="V482" s="12"/>
      <c r="W482" s="12"/>
      <c r="X482" s="12"/>
    </row>
    <row r="483" spans="6:24" x14ac:dyDescent="0.35">
      <c r="F483" s="1"/>
      <c r="G483" s="1"/>
      <c r="H483" s="1"/>
      <c r="K483" s="11"/>
      <c r="Q483" s="1"/>
      <c r="R483" s="12"/>
      <c r="S483" s="12"/>
      <c r="T483" s="12"/>
      <c r="U483" s="12"/>
      <c r="V483" s="12"/>
      <c r="W483" s="12"/>
      <c r="X483" s="12"/>
    </row>
    <row r="484" spans="6:24" x14ac:dyDescent="0.35">
      <c r="F484" s="1"/>
      <c r="G484" s="1"/>
      <c r="H484" s="1"/>
      <c r="K484" s="11"/>
      <c r="Q484" s="1"/>
      <c r="R484" s="12"/>
      <c r="S484" s="12"/>
      <c r="T484" s="12"/>
      <c r="U484" s="12"/>
      <c r="V484" s="12"/>
      <c r="W484" s="12"/>
      <c r="X484" s="12"/>
    </row>
    <row r="485" spans="6:24" x14ac:dyDescent="0.35">
      <c r="F485" s="1"/>
      <c r="G485" s="92"/>
      <c r="H485" s="1"/>
      <c r="K485" s="11"/>
      <c r="Q485" s="1"/>
      <c r="R485" s="12"/>
      <c r="S485" s="12"/>
      <c r="T485" s="12"/>
      <c r="U485" s="12"/>
      <c r="V485" s="12"/>
      <c r="W485" s="12"/>
      <c r="X485" s="12"/>
    </row>
    <row r="486" spans="6:24" x14ac:dyDescent="0.35">
      <c r="F486" s="1"/>
      <c r="G486" s="1"/>
      <c r="H486" s="1"/>
      <c r="K486" s="11"/>
      <c r="Q486" s="1"/>
      <c r="R486" s="12"/>
      <c r="S486" s="12"/>
      <c r="T486" s="12"/>
      <c r="U486" s="12"/>
      <c r="V486" s="12"/>
      <c r="W486" s="12"/>
      <c r="X486" s="12"/>
    </row>
    <row r="487" spans="6:24" x14ac:dyDescent="0.35">
      <c r="F487" s="1"/>
      <c r="G487" s="1"/>
      <c r="H487" s="1"/>
      <c r="K487" s="11"/>
      <c r="Q487" s="1"/>
      <c r="R487" s="12"/>
      <c r="S487" s="12"/>
      <c r="T487" s="12"/>
      <c r="U487" s="12"/>
      <c r="V487" s="12"/>
      <c r="W487" s="12"/>
      <c r="X487" s="12"/>
    </row>
    <row r="488" spans="6:24" x14ac:dyDescent="0.35">
      <c r="F488" s="1"/>
      <c r="H488" s="1"/>
      <c r="K488" s="11"/>
      <c r="Q488" s="1"/>
      <c r="R488" s="12"/>
      <c r="S488" s="12"/>
      <c r="T488" s="12"/>
      <c r="U488" s="12"/>
      <c r="V488" s="12"/>
      <c r="W488" s="12"/>
      <c r="X488" s="12"/>
    </row>
    <row r="489" spans="6:24" x14ac:dyDescent="0.35">
      <c r="F489" s="1"/>
      <c r="H489" s="1"/>
      <c r="K489" s="11"/>
      <c r="Q489" s="1"/>
      <c r="R489" s="12"/>
      <c r="S489" s="12"/>
      <c r="T489" s="12"/>
      <c r="U489" s="12"/>
      <c r="V489" s="12"/>
      <c r="W489" s="12"/>
      <c r="X489" s="12"/>
    </row>
    <row r="490" spans="6:24" x14ac:dyDescent="0.35">
      <c r="F490" s="1"/>
      <c r="H490" s="1"/>
      <c r="K490" s="11"/>
      <c r="Q490" s="1"/>
      <c r="R490" s="12"/>
      <c r="S490" s="12"/>
      <c r="T490" s="12"/>
      <c r="U490" s="12"/>
      <c r="V490" s="12"/>
      <c r="W490" s="12"/>
      <c r="X490" s="12"/>
    </row>
    <row r="491" spans="6:24" x14ac:dyDescent="0.35">
      <c r="F491" s="1"/>
      <c r="H491" s="1"/>
      <c r="K491" s="11"/>
      <c r="Q491" s="1"/>
      <c r="R491" s="12"/>
      <c r="S491" s="12"/>
      <c r="T491" s="12"/>
      <c r="U491" s="12"/>
      <c r="V491" s="12"/>
      <c r="W491" s="12"/>
      <c r="X491" s="12"/>
    </row>
    <row r="492" spans="6:24" x14ac:dyDescent="0.35">
      <c r="F492" s="1"/>
      <c r="H492" s="1"/>
      <c r="K492" s="11"/>
      <c r="Q492" s="1"/>
      <c r="R492" s="12"/>
      <c r="S492" s="12"/>
      <c r="T492" s="12"/>
      <c r="U492" s="12"/>
      <c r="V492" s="12"/>
      <c r="W492" s="12"/>
      <c r="X492" s="12"/>
    </row>
    <row r="493" spans="6:24" x14ac:dyDescent="0.35">
      <c r="F493" s="1"/>
      <c r="H493" s="1"/>
      <c r="K493" s="11"/>
      <c r="Q493" s="1"/>
      <c r="R493" s="12"/>
      <c r="S493" s="12"/>
      <c r="T493" s="12"/>
      <c r="U493" s="12"/>
      <c r="V493" s="12"/>
      <c r="W493" s="12"/>
      <c r="X493" s="12"/>
    </row>
    <row r="494" spans="6:24" x14ac:dyDescent="0.35">
      <c r="F494" s="1"/>
      <c r="H494" s="1"/>
      <c r="K494" s="11"/>
      <c r="Q494" s="1"/>
      <c r="R494" s="12"/>
      <c r="S494" s="12"/>
      <c r="T494" s="12"/>
      <c r="U494" s="12"/>
      <c r="V494" s="12"/>
      <c r="W494" s="12"/>
      <c r="X494" s="12"/>
    </row>
    <row r="495" spans="6:24" x14ac:dyDescent="0.35">
      <c r="F495" s="1"/>
      <c r="H495" s="1"/>
      <c r="K495" s="11"/>
      <c r="Q495" s="1"/>
      <c r="R495" s="12"/>
      <c r="S495" s="12"/>
      <c r="T495" s="12"/>
      <c r="U495" s="12"/>
      <c r="V495" s="12"/>
      <c r="W495" s="12"/>
      <c r="X495" s="12"/>
    </row>
    <row r="496" spans="6:24" x14ac:dyDescent="0.35">
      <c r="F496" s="1"/>
      <c r="G496" s="1"/>
      <c r="H496" s="1"/>
      <c r="K496" s="11"/>
      <c r="Q496" s="1"/>
      <c r="R496" s="12"/>
      <c r="S496" s="12"/>
      <c r="T496" s="12"/>
      <c r="U496" s="12"/>
      <c r="V496" s="12"/>
      <c r="W496" s="12"/>
      <c r="X496" s="12"/>
    </row>
    <row r="497" spans="6:24" x14ac:dyDescent="0.35">
      <c r="F497" s="1"/>
      <c r="G497" s="1"/>
      <c r="H497" s="1"/>
      <c r="K497" s="11"/>
      <c r="Q497" s="1"/>
      <c r="R497" s="12"/>
      <c r="S497" s="12"/>
      <c r="T497" s="12"/>
      <c r="U497" s="12"/>
      <c r="V497" s="12"/>
      <c r="W497" s="12"/>
      <c r="X497" s="12"/>
    </row>
    <row r="498" spans="6:24" x14ac:dyDescent="0.35">
      <c r="F498" s="1"/>
      <c r="G498" s="1"/>
      <c r="H498" s="1"/>
      <c r="K498" s="11"/>
      <c r="Q498" s="1"/>
      <c r="R498" s="12"/>
      <c r="S498" s="12"/>
      <c r="T498" s="12"/>
      <c r="U498" s="12"/>
      <c r="V498" s="12"/>
      <c r="W498" s="12"/>
      <c r="X498" s="12"/>
    </row>
    <row r="499" spans="6:24" x14ac:dyDescent="0.35">
      <c r="F499" s="1"/>
      <c r="G499" s="1"/>
      <c r="H499" s="1"/>
      <c r="K499" s="11"/>
      <c r="Q499" s="1"/>
      <c r="R499" s="12"/>
      <c r="S499" s="12"/>
      <c r="T499" s="12"/>
      <c r="U499" s="12"/>
      <c r="V499" s="12"/>
      <c r="W499" s="12"/>
      <c r="X499" s="12"/>
    </row>
    <row r="500" spans="6:24" x14ac:dyDescent="0.35">
      <c r="F500" s="1"/>
      <c r="G500" s="1"/>
      <c r="H500" s="1"/>
      <c r="K500" s="11"/>
      <c r="Q500" s="1"/>
      <c r="R500" s="12"/>
      <c r="S500" s="12"/>
      <c r="T500" s="12"/>
      <c r="U500" s="12"/>
      <c r="V500" s="12"/>
      <c r="W500" s="12"/>
      <c r="X500" s="12"/>
    </row>
    <row r="501" spans="6:24" x14ac:dyDescent="0.35">
      <c r="F501" s="1"/>
      <c r="G501" s="1"/>
      <c r="H501" s="1"/>
      <c r="K501" s="11"/>
      <c r="Q501" s="1"/>
      <c r="R501" s="12"/>
      <c r="S501" s="12"/>
      <c r="T501" s="12"/>
      <c r="U501" s="12"/>
      <c r="V501" s="12"/>
      <c r="W501" s="12"/>
      <c r="X501" s="12"/>
    </row>
    <row r="502" spans="6:24" x14ac:dyDescent="0.35">
      <c r="F502" s="1"/>
      <c r="G502" s="1"/>
      <c r="H502" s="1"/>
      <c r="K502" s="11"/>
      <c r="Q502" s="1"/>
      <c r="R502" s="12"/>
      <c r="S502" s="12"/>
      <c r="T502" s="12"/>
      <c r="U502" s="12"/>
      <c r="V502" s="12"/>
      <c r="W502" s="12"/>
      <c r="X502" s="12"/>
    </row>
    <row r="503" spans="6:24" x14ac:dyDescent="0.35">
      <c r="F503" s="1"/>
      <c r="G503" s="1"/>
      <c r="H503" s="1"/>
      <c r="K503" s="11"/>
      <c r="Q503" s="1"/>
      <c r="R503" s="12"/>
      <c r="S503" s="12"/>
      <c r="T503" s="12"/>
      <c r="U503" s="12"/>
      <c r="V503" s="12"/>
      <c r="W503" s="12"/>
      <c r="X503" s="12"/>
    </row>
    <row r="504" spans="6:24" x14ac:dyDescent="0.35">
      <c r="F504" s="1"/>
      <c r="G504" s="1"/>
      <c r="H504" s="1"/>
      <c r="K504" s="11"/>
      <c r="Q504" s="1"/>
      <c r="R504" s="12"/>
      <c r="S504" s="12"/>
      <c r="T504" s="12"/>
      <c r="U504" s="12"/>
      <c r="V504" s="12"/>
      <c r="W504" s="12"/>
      <c r="X504" s="12"/>
    </row>
    <row r="505" spans="6:24" x14ac:dyDescent="0.35">
      <c r="F505" s="1"/>
      <c r="G505" s="1"/>
      <c r="H505" s="1"/>
      <c r="K505" s="11"/>
      <c r="Q505" s="1"/>
      <c r="R505" s="12"/>
      <c r="S505" s="12"/>
      <c r="T505" s="12"/>
      <c r="U505" s="12"/>
      <c r="V505" s="12"/>
      <c r="W505" s="12"/>
      <c r="X505" s="12"/>
    </row>
    <row r="506" spans="6:24" x14ac:dyDescent="0.35">
      <c r="F506" s="1"/>
      <c r="G506" s="1"/>
      <c r="H506" s="1"/>
      <c r="K506" s="11"/>
      <c r="Q506" s="1"/>
      <c r="R506" s="12"/>
      <c r="S506" s="12"/>
      <c r="T506" s="12"/>
      <c r="U506" s="12"/>
      <c r="V506" s="12"/>
      <c r="W506" s="12"/>
      <c r="X506" s="12"/>
    </row>
    <row r="507" spans="6:24" x14ac:dyDescent="0.35">
      <c r="F507" s="1"/>
      <c r="G507" s="1"/>
      <c r="H507" s="1"/>
      <c r="K507" s="11"/>
      <c r="Q507" s="1"/>
      <c r="R507" s="12"/>
      <c r="S507" s="12"/>
      <c r="T507" s="12"/>
      <c r="U507" s="12"/>
      <c r="V507" s="12"/>
      <c r="W507" s="12"/>
      <c r="X507" s="12"/>
    </row>
    <row r="508" spans="6:24" x14ac:dyDescent="0.35">
      <c r="F508" s="1"/>
      <c r="G508" s="1"/>
      <c r="H508" s="1"/>
      <c r="K508" s="11"/>
      <c r="Q508" s="1"/>
      <c r="R508" s="12"/>
      <c r="S508" s="12"/>
      <c r="T508" s="12"/>
      <c r="U508" s="12"/>
      <c r="V508" s="12"/>
      <c r="W508" s="12"/>
      <c r="X508" s="12"/>
    </row>
    <row r="509" spans="6:24" x14ac:dyDescent="0.35">
      <c r="F509" s="1"/>
      <c r="G509" s="1"/>
      <c r="H509" s="1"/>
      <c r="K509" s="11"/>
      <c r="Q509" s="1"/>
      <c r="R509" s="12"/>
      <c r="S509" s="12"/>
      <c r="T509" s="12"/>
      <c r="U509" s="12"/>
      <c r="V509" s="12"/>
      <c r="W509" s="12"/>
      <c r="X509" s="12"/>
    </row>
    <row r="510" spans="6:24" x14ac:dyDescent="0.35">
      <c r="F510" s="1"/>
      <c r="G510" s="1"/>
      <c r="H510" s="1"/>
      <c r="K510" s="11"/>
      <c r="Q510" s="1"/>
      <c r="R510" s="12"/>
      <c r="S510" s="12"/>
      <c r="T510" s="12"/>
      <c r="U510" s="12"/>
      <c r="V510" s="12"/>
      <c r="W510" s="12"/>
      <c r="X510" s="12"/>
    </row>
    <row r="511" spans="6:24" x14ac:dyDescent="0.35">
      <c r="F511" s="1"/>
      <c r="G511" s="1"/>
      <c r="H511" s="1"/>
      <c r="K511" s="11"/>
      <c r="Q511" s="1"/>
      <c r="R511" s="12"/>
      <c r="S511" s="12"/>
      <c r="T511" s="12"/>
      <c r="U511" s="12"/>
      <c r="V511" s="12"/>
      <c r="W511" s="12"/>
      <c r="X511" s="12"/>
    </row>
    <row r="512" spans="6:24" x14ac:dyDescent="0.35">
      <c r="F512" s="1"/>
      <c r="G512" s="1"/>
      <c r="H512" s="1"/>
      <c r="K512" s="11"/>
      <c r="Q512" s="1"/>
      <c r="R512" s="12"/>
      <c r="S512" s="12"/>
      <c r="T512" s="12"/>
      <c r="U512" s="12"/>
      <c r="V512" s="12"/>
      <c r="W512" s="12"/>
      <c r="X512" s="12"/>
    </row>
    <row r="513" spans="6:24" x14ac:dyDescent="0.35">
      <c r="F513" s="1"/>
      <c r="G513" s="1"/>
      <c r="H513" s="1"/>
      <c r="K513" s="11"/>
      <c r="Q513" s="1"/>
      <c r="R513" s="12"/>
      <c r="S513" s="12"/>
      <c r="T513" s="12"/>
      <c r="U513" s="12"/>
      <c r="V513" s="12"/>
      <c r="W513" s="12"/>
      <c r="X513" s="12"/>
    </row>
    <row r="514" spans="6:24" x14ac:dyDescent="0.35">
      <c r="F514" s="1"/>
      <c r="G514" s="1"/>
      <c r="H514" s="1"/>
      <c r="K514" s="11"/>
      <c r="Q514" s="1"/>
      <c r="R514" s="12"/>
      <c r="S514" s="12"/>
      <c r="T514" s="12"/>
      <c r="U514" s="12"/>
      <c r="V514" s="12"/>
      <c r="W514" s="12"/>
      <c r="X514" s="12"/>
    </row>
    <row r="515" spans="6:24" x14ac:dyDescent="0.35">
      <c r="F515" s="1"/>
      <c r="G515" s="1"/>
      <c r="H515" s="1"/>
      <c r="K515" s="11"/>
      <c r="Q515" s="1"/>
      <c r="R515" s="12"/>
      <c r="S515" s="12"/>
      <c r="T515" s="12"/>
      <c r="U515" s="12"/>
      <c r="V515" s="12"/>
      <c r="W515" s="12"/>
      <c r="X515" s="12"/>
    </row>
    <row r="516" spans="6:24" x14ac:dyDescent="0.35">
      <c r="F516" s="1"/>
      <c r="G516" s="1"/>
      <c r="H516" s="1"/>
      <c r="K516" s="11"/>
      <c r="Q516" s="1"/>
      <c r="R516" s="12"/>
      <c r="S516" s="12"/>
      <c r="T516" s="12"/>
      <c r="U516" s="12"/>
      <c r="V516" s="12"/>
      <c r="W516" s="12"/>
      <c r="X516" s="12"/>
    </row>
    <row r="517" spans="6:24" x14ac:dyDescent="0.35">
      <c r="F517" s="1"/>
      <c r="H517" s="1"/>
      <c r="K517" s="11"/>
      <c r="Q517" s="1"/>
      <c r="R517" s="12"/>
      <c r="S517" s="12"/>
      <c r="T517" s="12"/>
      <c r="U517" s="12"/>
      <c r="V517" s="12"/>
      <c r="W517" s="12"/>
      <c r="X517" s="12"/>
    </row>
    <row r="518" spans="6:24" x14ac:dyDescent="0.35">
      <c r="F518" s="1"/>
      <c r="G518" s="1"/>
      <c r="H518" s="1"/>
      <c r="K518" s="11"/>
      <c r="Q518" s="1"/>
      <c r="R518" s="12"/>
      <c r="S518" s="12"/>
      <c r="T518" s="12"/>
      <c r="U518" s="12"/>
      <c r="V518" s="12"/>
      <c r="W518" s="12"/>
      <c r="X518" s="12"/>
    </row>
    <row r="519" spans="6:24" x14ac:dyDescent="0.35">
      <c r="F519" s="1"/>
      <c r="G519" s="1"/>
      <c r="H519" s="1"/>
      <c r="K519" s="11"/>
      <c r="Q519" s="1"/>
      <c r="R519" s="12"/>
      <c r="S519" s="12"/>
      <c r="T519" s="12"/>
      <c r="U519" s="12"/>
      <c r="V519" s="12"/>
      <c r="W519" s="12"/>
      <c r="X519" s="12"/>
    </row>
    <row r="520" spans="6:24" x14ac:dyDescent="0.35">
      <c r="F520" s="1"/>
      <c r="G520" s="1"/>
      <c r="H520" s="1"/>
      <c r="K520" s="11"/>
      <c r="Q520" s="1"/>
      <c r="R520" s="12"/>
      <c r="S520" s="12"/>
      <c r="T520" s="12"/>
      <c r="U520" s="12"/>
      <c r="V520" s="12"/>
      <c r="W520" s="12"/>
      <c r="X520" s="12"/>
    </row>
    <row r="521" spans="6:24" x14ac:dyDescent="0.35">
      <c r="F521" s="1"/>
      <c r="G521" s="1"/>
      <c r="H521" s="1"/>
      <c r="K521" s="11"/>
      <c r="Q521" s="1"/>
      <c r="R521" s="12"/>
      <c r="S521" s="12"/>
      <c r="T521" s="12"/>
      <c r="U521" s="12"/>
      <c r="V521" s="12"/>
      <c r="W521" s="12"/>
      <c r="X521" s="12"/>
    </row>
    <row r="522" spans="6:24" x14ac:dyDescent="0.35">
      <c r="F522" s="1"/>
      <c r="G522" s="1"/>
      <c r="H522" s="1"/>
      <c r="K522" s="11"/>
      <c r="Q522" s="1"/>
      <c r="R522" s="12"/>
      <c r="S522" s="12"/>
      <c r="T522" s="12"/>
      <c r="U522" s="12"/>
      <c r="V522" s="12"/>
      <c r="W522" s="12"/>
      <c r="X522" s="12"/>
    </row>
    <row r="523" spans="6:24" x14ac:dyDescent="0.35">
      <c r="F523" s="1"/>
      <c r="G523" s="1"/>
      <c r="H523" s="1"/>
      <c r="K523" s="11"/>
      <c r="Q523" s="1"/>
      <c r="R523" s="12"/>
      <c r="S523" s="12"/>
      <c r="T523" s="12"/>
      <c r="U523" s="12"/>
      <c r="V523" s="12"/>
      <c r="W523" s="12"/>
      <c r="X523" s="12"/>
    </row>
    <row r="524" spans="6:24" x14ac:dyDescent="0.35">
      <c r="F524" s="1"/>
      <c r="G524" s="1"/>
      <c r="H524" s="1"/>
      <c r="K524" s="11"/>
      <c r="Q524" s="1"/>
      <c r="R524" s="12"/>
      <c r="S524" s="12"/>
      <c r="T524" s="12"/>
      <c r="U524" s="12"/>
      <c r="V524" s="12"/>
      <c r="W524" s="12"/>
      <c r="X524" s="12"/>
    </row>
    <row r="525" spans="6:24" x14ac:dyDescent="0.35">
      <c r="F525" s="1"/>
      <c r="G525" s="1"/>
      <c r="H525" s="1"/>
      <c r="K525" s="11"/>
      <c r="Q525" s="1"/>
      <c r="R525" s="12"/>
      <c r="S525" s="12"/>
      <c r="T525" s="12"/>
      <c r="U525" s="12"/>
      <c r="V525" s="12"/>
      <c r="W525" s="12"/>
      <c r="X525" s="12"/>
    </row>
    <row r="526" spans="6:24" x14ac:dyDescent="0.35">
      <c r="F526" s="1"/>
      <c r="G526" s="1"/>
      <c r="H526" s="1"/>
      <c r="K526" s="11"/>
      <c r="Q526" s="1"/>
      <c r="R526" s="12"/>
      <c r="S526" s="12"/>
      <c r="T526" s="12"/>
      <c r="U526" s="12"/>
      <c r="V526" s="12"/>
      <c r="W526" s="12"/>
      <c r="X526" s="12"/>
    </row>
    <row r="527" spans="6:24" x14ac:dyDescent="0.35">
      <c r="F527" s="1"/>
      <c r="G527" s="1"/>
      <c r="H527" s="1"/>
      <c r="K527" s="11"/>
      <c r="Q527" s="1"/>
      <c r="R527" s="12"/>
      <c r="S527" s="12"/>
      <c r="T527" s="12"/>
      <c r="U527" s="12"/>
      <c r="V527" s="12"/>
      <c r="W527" s="12"/>
      <c r="X527" s="12"/>
    </row>
    <row r="528" spans="6:24" x14ac:dyDescent="0.35">
      <c r="F528" s="1"/>
      <c r="G528" s="1"/>
      <c r="H528" s="1"/>
      <c r="K528" s="11"/>
      <c r="Q528" s="1"/>
      <c r="R528" s="12"/>
      <c r="S528" s="12"/>
      <c r="T528" s="12"/>
      <c r="U528" s="12"/>
      <c r="V528" s="12"/>
      <c r="W528" s="12"/>
      <c r="X528" s="12"/>
    </row>
    <row r="529" spans="6:24" x14ac:dyDescent="0.35">
      <c r="F529" s="1"/>
      <c r="G529" s="1"/>
      <c r="H529" s="1"/>
      <c r="K529" s="11"/>
      <c r="Q529" s="1"/>
      <c r="R529" s="12"/>
      <c r="S529" s="12"/>
      <c r="T529" s="12"/>
      <c r="U529" s="12"/>
      <c r="V529" s="12"/>
      <c r="W529" s="12"/>
      <c r="X529" s="12"/>
    </row>
    <row r="530" spans="6:24" x14ac:dyDescent="0.35">
      <c r="F530" s="1"/>
      <c r="G530" s="1"/>
      <c r="H530" s="1"/>
      <c r="K530" s="11"/>
      <c r="Q530" s="1"/>
      <c r="R530" s="12"/>
      <c r="S530" s="12"/>
      <c r="T530" s="12"/>
      <c r="U530" s="12"/>
      <c r="V530" s="12"/>
      <c r="W530" s="12"/>
      <c r="X530" s="12"/>
    </row>
    <row r="531" spans="6:24" x14ac:dyDescent="0.35">
      <c r="F531" s="1"/>
      <c r="G531" s="1"/>
      <c r="H531" s="1"/>
      <c r="K531" s="11"/>
      <c r="Q531" s="1"/>
      <c r="R531" s="12"/>
      <c r="S531" s="12"/>
      <c r="T531" s="12"/>
      <c r="U531" s="12"/>
      <c r="V531" s="12"/>
      <c r="W531" s="12"/>
      <c r="X531" s="12"/>
    </row>
    <row r="532" spans="6:24" x14ac:dyDescent="0.35">
      <c r="F532" s="1"/>
      <c r="G532" s="1"/>
      <c r="H532" s="1"/>
      <c r="K532" s="11"/>
      <c r="Q532" s="1"/>
      <c r="R532" s="12"/>
      <c r="S532" s="12"/>
      <c r="T532" s="12"/>
      <c r="U532" s="12"/>
      <c r="V532" s="12"/>
      <c r="W532" s="12"/>
      <c r="X532" s="12"/>
    </row>
    <row r="533" spans="6:24" x14ac:dyDescent="0.35">
      <c r="F533" s="1"/>
      <c r="G533" s="92"/>
      <c r="H533" s="1"/>
      <c r="K533" s="11"/>
      <c r="Q533" s="1"/>
      <c r="R533" s="12"/>
      <c r="S533" s="12"/>
      <c r="T533" s="12"/>
      <c r="U533" s="12"/>
      <c r="V533" s="12"/>
      <c r="W533" s="12"/>
      <c r="X533" s="12"/>
    </row>
    <row r="534" spans="6:24" x14ac:dyDescent="0.35">
      <c r="F534" s="1"/>
      <c r="G534" s="92"/>
      <c r="H534" s="1"/>
      <c r="K534" s="11"/>
      <c r="Q534" s="1"/>
      <c r="R534" s="12"/>
      <c r="S534" s="12"/>
      <c r="T534" s="12"/>
      <c r="U534" s="12"/>
      <c r="V534" s="12"/>
      <c r="W534" s="12"/>
      <c r="X534" s="12"/>
    </row>
    <row r="535" spans="6:24" x14ac:dyDescent="0.35">
      <c r="F535" s="1"/>
      <c r="G535" s="92"/>
      <c r="H535" s="1"/>
      <c r="K535" s="11"/>
      <c r="Q535" s="1"/>
      <c r="R535" s="12"/>
      <c r="S535" s="12"/>
      <c r="T535" s="12"/>
      <c r="U535" s="12"/>
      <c r="V535" s="12"/>
      <c r="W535" s="12"/>
      <c r="X535" s="12"/>
    </row>
    <row r="536" spans="6:24" x14ac:dyDescent="0.35">
      <c r="F536" s="1"/>
      <c r="G536" s="92"/>
      <c r="H536" s="1"/>
      <c r="K536" s="11"/>
      <c r="Q536" s="1"/>
      <c r="R536" s="12"/>
      <c r="S536" s="12"/>
      <c r="T536" s="12"/>
      <c r="U536" s="12"/>
      <c r="V536" s="12"/>
      <c r="W536" s="12"/>
      <c r="X536" s="12"/>
    </row>
    <row r="537" spans="6:24" x14ac:dyDescent="0.35">
      <c r="F537" s="1"/>
      <c r="G537" s="1"/>
      <c r="H537" s="1"/>
      <c r="K537" s="11"/>
      <c r="Q537" s="1"/>
      <c r="R537" s="12"/>
      <c r="S537" s="12"/>
      <c r="T537" s="12"/>
      <c r="U537" s="12"/>
      <c r="V537" s="12"/>
      <c r="W537" s="12"/>
      <c r="X537" s="12"/>
    </row>
    <row r="538" spans="6:24" x14ac:dyDescent="0.35">
      <c r="F538" s="1"/>
      <c r="G538" s="1"/>
      <c r="H538" s="1"/>
      <c r="K538" s="11"/>
      <c r="Q538" s="1"/>
      <c r="R538" s="12"/>
      <c r="S538" s="12"/>
      <c r="T538" s="12"/>
      <c r="U538" s="12"/>
      <c r="V538" s="12"/>
      <c r="W538" s="12"/>
      <c r="X538" s="12"/>
    </row>
    <row r="539" spans="6:24" x14ac:dyDescent="0.35">
      <c r="F539" s="1"/>
      <c r="G539" s="1"/>
      <c r="H539" s="1"/>
      <c r="K539" s="11"/>
      <c r="Q539" s="1"/>
      <c r="R539" s="12"/>
      <c r="S539" s="12"/>
      <c r="T539" s="12"/>
      <c r="U539" s="12"/>
      <c r="V539" s="12"/>
      <c r="W539" s="12"/>
      <c r="X539" s="12"/>
    </row>
    <row r="540" spans="6:24" x14ac:dyDescent="0.35">
      <c r="F540" s="1"/>
      <c r="G540" s="1"/>
      <c r="H540" s="1"/>
      <c r="K540" s="11"/>
      <c r="Q540" s="1"/>
      <c r="R540" s="12"/>
      <c r="S540" s="12"/>
      <c r="T540" s="12"/>
      <c r="U540" s="12"/>
      <c r="V540" s="12"/>
      <c r="W540" s="12"/>
      <c r="X540" s="12"/>
    </row>
    <row r="541" spans="6:24" x14ac:dyDescent="0.35">
      <c r="F541" s="1"/>
      <c r="G541" s="92"/>
      <c r="H541" s="1"/>
      <c r="K541" s="11"/>
      <c r="Q541" s="1"/>
      <c r="R541" s="12"/>
      <c r="S541" s="12"/>
      <c r="T541" s="12"/>
      <c r="U541" s="12"/>
      <c r="V541" s="12"/>
      <c r="W541" s="12"/>
      <c r="X541" s="12"/>
    </row>
    <row r="542" spans="6:24" x14ac:dyDescent="0.35">
      <c r="F542" s="1"/>
      <c r="G542" s="92"/>
      <c r="H542" s="1"/>
      <c r="K542" s="11"/>
      <c r="Q542" s="1"/>
      <c r="R542" s="12"/>
      <c r="S542" s="12"/>
      <c r="T542" s="12"/>
      <c r="U542" s="12"/>
      <c r="V542" s="12"/>
      <c r="W542" s="12"/>
      <c r="X542" s="12"/>
    </row>
    <row r="543" spans="6:24" x14ac:dyDescent="0.35">
      <c r="F543" s="1"/>
      <c r="G543" s="92"/>
      <c r="H543" s="1"/>
      <c r="K543" s="11"/>
      <c r="Q543" s="1"/>
      <c r="R543" s="12"/>
      <c r="S543" s="12"/>
      <c r="T543" s="12"/>
      <c r="U543" s="12"/>
      <c r="V543" s="12"/>
      <c r="W543" s="12"/>
      <c r="X543" s="12"/>
    </row>
    <row r="544" spans="6:24" x14ac:dyDescent="0.35">
      <c r="F544" s="1"/>
      <c r="G544" s="92"/>
      <c r="H544" s="1"/>
      <c r="K544" s="11"/>
      <c r="Q544" s="1"/>
      <c r="R544" s="12"/>
      <c r="S544" s="12"/>
      <c r="T544" s="12"/>
      <c r="U544" s="12"/>
      <c r="V544" s="12"/>
      <c r="W544" s="12"/>
      <c r="X544" s="12"/>
    </row>
    <row r="545" spans="6:24" x14ac:dyDescent="0.35">
      <c r="F545" s="1"/>
      <c r="G545" s="92"/>
      <c r="H545" s="1"/>
      <c r="K545" s="11"/>
      <c r="Q545" s="1"/>
      <c r="R545" s="12"/>
      <c r="S545" s="12"/>
      <c r="T545" s="12"/>
      <c r="U545" s="12"/>
      <c r="V545" s="12"/>
      <c r="W545" s="12"/>
      <c r="X545" s="12"/>
    </row>
    <row r="546" spans="6:24" x14ac:dyDescent="0.35">
      <c r="F546" s="1"/>
      <c r="H546" s="1"/>
      <c r="K546" s="11"/>
      <c r="Q546" s="1"/>
      <c r="R546" s="12"/>
      <c r="S546" s="12"/>
      <c r="T546" s="12"/>
      <c r="U546" s="12"/>
      <c r="V546" s="12"/>
      <c r="W546" s="12"/>
      <c r="X546" s="12"/>
    </row>
    <row r="547" spans="6:24" x14ac:dyDescent="0.35">
      <c r="F547" s="1"/>
      <c r="H547" s="1"/>
      <c r="K547" s="11"/>
      <c r="Q547" s="1"/>
      <c r="R547" s="12"/>
      <c r="S547" s="12"/>
      <c r="T547" s="12"/>
      <c r="U547" s="12"/>
      <c r="V547" s="12"/>
      <c r="W547" s="12"/>
      <c r="X547" s="12"/>
    </row>
    <row r="548" spans="6:24" x14ac:dyDescent="0.35">
      <c r="F548" s="1"/>
      <c r="H548" s="1"/>
      <c r="K548" s="11"/>
      <c r="Q548" s="1"/>
      <c r="R548" s="12"/>
      <c r="S548" s="12"/>
      <c r="T548" s="12"/>
      <c r="U548" s="12"/>
      <c r="V548" s="12"/>
      <c r="W548" s="12"/>
      <c r="X548" s="12"/>
    </row>
    <row r="549" spans="6:24" x14ac:dyDescent="0.35">
      <c r="F549" s="1"/>
      <c r="H549" s="1"/>
      <c r="K549" s="11"/>
      <c r="Q549" s="1"/>
      <c r="R549" s="12"/>
      <c r="S549" s="12"/>
      <c r="T549" s="12"/>
      <c r="U549" s="12"/>
      <c r="V549" s="12"/>
      <c r="W549" s="12"/>
      <c r="X549" s="12"/>
    </row>
    <row r="550" spans="6:24" x14ac:dyDescent="0.35">
      <c r="F550" s="1"/>
      <c r="H550" s="1"/>
      <c r="K550" s="11"/>
      <c r="Q550" s="1"/>
      <c r="R550" s="12"/>
      <c r="S550" s="12"/>
      <c r="T550" s="12"/>
      <c r="U550" s="12"/>
      <c r="V550" s="12"/>
      <c r="W550" s="12"/>
      <c r="X550" s="12"/>
    </row>
    <row r="551" spans="6:24" x14ac:dyDescent="0.35">
      <c r="F551" s="1"/>
      <c r="H551" s="1"/>
      <c r="K551" s="11"/>
      <c r="Q551" s="1"/>
      <c r="R551" s="12"/>
      <c r="S551" s="12"/>
      <c r="T551" s="12"/>
      <c r="U551" s="12"/>
      <c r="V551" s="12"/>
      <c r="W551" s="12"/>
      <c r="X551" s="12"/>
    </row>
    <row r="552" spans="6:24" x14ac:dyDescent="0.35">
      <c r="F552" s="1"/>
      <c r="H552" s="1"/>
      <c r="K552" s="11"/>
      <c r="Q552" s="1"/>
      <c r="R552" s="12"/>
      <c r="S552" s="12"/>
      <c r="T552" s="12"/>
      <c r="U552" s="12"/>
      <c r="V552" s="12"/>
      <c r="W552" s="12"/>
      <c r="X552" s="12"/>
    </row>
    <row r="553" spans="6:24" x14ac:dyDescent="0.35">
      <c r="F553" s="1"/>
      <c r="H553" s="1"/>
      <c r="K553" s="11"/>
      <c r="Q553" s="1"/>
      <c r="R553" s="12"/>
      <c r="S553" s="12"/>
      <c r="T553" s="12"/>
      <c r="U553" s="12"/>
      <c r="V553" s="12"/>
      <c r="W553" s="12"/>
      <c r="X553" s="12"/>
    </row>
    <row r="554" spans="6:24" x14ac:dyDescent="0.35">
      <c r="F554" s="1"/>
      <c r="H554" s="1"/>
      <c r="K554" s="11"/>
      <c r="Q554" s="1"/>
      <c r="R554" s="12"/>
      <c r="S554" s="12"/>
      <c r="T554" s="12"/>
      <c r="U554" s="12"/>
      <c r="V554" s="12"/>
      <c r="W554" s="12"/>
      <c r="X554" s="12"/>
    </row>
    <row r="555" spans="6:24" x14ac:dyDescent="0.35">
      <c r="F555" s="1"/>
      <c r="H555" s="1"/>
      <c r="K555" s="11"/>
      <c r="Q555" s="1"/>
      <c r="R555" s="12"/>
      <c r="S555" s="12"/>
      <c r="T555" s="12"/>
      <c r="U555" s="12"/>
      <c r="V555" s="12"/>
      <c r="W555" s="12"/>
      <c r="X555" s="12"/>
    </row>
    <row r="556" spans="6:24" x14ac:dyDescent="0.35">
      <c r="F556" s="1"/>
      <c r="H556" s="1"/>
      <c r="K556" s="11"/>
      <c r="Q556" s="1"/>
      <c r="R556" s="12"/>
      <c r="S556" s="12"/>
      <c r="T556" s="12"/>
      <c r="U556" s="12"/>
      <c r="V556" s="12"/>
      <c r="W556" s="12"/>
      <c r="X556" s="12"/>
    </row>
    <row r="557" spans="6:24" x14ac:dyDescent="0.35">
      <c r="F557" s="1"/>
      <c r="H557" s="1"/>
      <c r="K557" s="11"/>
      <c r="Q557" s="1"/>
      <c r="R557" s="12"/>
      <c r="S557" s="12"/>
      <c r="T557" s="12"/>
      <c r="U557" s="12"/>
      <c r="V557" s="12"/>
      <c r="W557" s="12"/>
      <c r="X557" s="12"/>
    </row>
    <row r="558" spans="6:24" x14ac:dyDescent="0.35">
      <c r="F558" s="1"/>
      <c r="H558" s="1"/>
      <c r="K558" s="11"/>
      <c r="Q558" s="1"/>
      <c r="R558" s="12"/>
      <c r="S558" s="12"/>
      <c r="T558" s="12"/>
      <c r="U558" s="12"/>
      <c r="V558" s="12"/>
      <c r="W558" s="12"/>
      <c r="X558" s="12"/>
    </row>
    <row r="559" spans="6:24" x14ac:dyDescent="0.35">
      <c r="F559" s="1"/>
      <c r="G559" s="1"/>
      <c r="H559" s="1"/>
      <c r="K559" s="11"/>
      <c r="Q559" s="1"/>
      <c r="R559" s="12"/>
      <c r="S559" s="12"/>
      <c r="T559" s="12"/>
      <c r="U559" s="12"/>
      <c r="V559" s="12"/>
      <c r="W559" s="12"/>
      <c r="X559" s="12"/>
    </row>
    <row r="560" spans="6:24" x14ac:dyDescent="0.35">
      <c r="F560" s="1"/>
      <c r="G560" s="1"/>
      <c r="H560" s="1"/>
      <c r="K560" s="11"/>
      <c r="Q560" s="1"/>
      <c r="R560" s="12"/>
      <c r="S560" s="12"/>
      <c r="T560" s="12"/>
      <c r="U560" s="12"/>
      <c r="V560" s="12"/>
      <c r="W560" s="12"/>
      <c r="X560" s="12"/>
    </row>
    <row r="561" spans="6:24" x14ac:dyDescent="0.35">
      <c r="F561" s="1"/>
      <c r="G561" s="1"/>
      <c r="H561" s="1"/>
      <c r="K561" s="11"/>
      <c r="Q561" s="1"/>
      <c r="R561" s="12"/>
      <c r="S561" s="12"/>
      <c r="T561" s="12"/>
      <c r="U561" s="12"/>
      <c r="V561" s="12"/>
      <c r="W561" s="12"/>
      <c r="X561" s="12"/>
    </row>
    <row r="562" spans="6:24" x14ac:dyDescent="0.35">
      <c r="F562" s="1"/>
      <c r="G562" s="1"/>
      <c r="H562" s="1"/>
      <c r="K562" s="11"/>
      <c r="Q562" s="1"/>
      <c r="R562" s="12"/>
      <c r="S562" s="12"/>
      <c r="T562" s="12"/>
      <c r="U562" s="12"/>
      <c r="V562" s="12"/>
      <c r="W562" s="12"/>
      <c r="X562" s="12"/>
    </row>
    <row r="563" spans="6:24" x14ac:dyDescent="0.35">
      <c r="F563" s="1"/>
      <c r="H563" s="1"/>
      <c r="K563" s="11"/>
      <c r="Q563" s="1"/>
      <c r="R563" s="12"/>
      <c r="S563" s="12"/>
      <c r="T563" s="12"/>
      <c r="U563" s="12"/>
      <c r="V563" s="12"/>
      <c r="W563" s="12"/>
      <c r="X563" s="12"/>
    </row>
    <row r="564" spans="6:24" x14ac:dyDescent="0.35">
      <c r="F564" s="1"/>
      <c r="H564" s="1"/>
      <c r="K564" s="11"/>
      <c r="Q564" s="1"/>
      <c r="R564" s="12"/>
      <c r="S564" s="12"/>
      <c r="T564" s="12"/>
      <c r="U564" s="12"/>
      <c r="V564" s="12"/>
      <c r="W564" s="12"/>
      <c r="X564" s="12"/>
    </row>
    <row r="565" spans="6:24" x14ac:dyDescent="0.35">
      <c r="F565" s="1"/>
      <c r="H565" s="1"/>
      <c r="K565" s="11"/>
      <c r="Q565" s="1"/>
      <c r="R565" s="12"/>
      <c r="S565" s="12"/>
      <c r="T565" s="12"/>
      <c r="U565" s="12"/>
      <c r="V565" s="12"/>
      <c r="W565" s="12"/>
      <c r="X565" s="12"/>
    </row>
    <row r="566" spans="6:24" x14ac:dyDescent="0.35">
      <c r="F566" s="1"/>
      <c r="H566" s="1"/>
      <c r="K566" s="11"/>
      <c r="Q566" s="1"/>
      <c r="R566" s="12"/>
      <c r="S566" s="12"/>
      <c r="T566" s="12"/>
      <c r="U566" s="12"/>
      <c r="V566" s="12"/>
      <c r="W566" s="12"/>
      <c r="X566" s="12"/>
    </row>
    <row r="567" spans="6:24" x14ac:dyDescent="0.35">
      <c r="F567" s="1"/>
      <c r="G567" s="1"/>
      <c r="H567" s="1"/>
      <c r="K567" s="11"/>
      <c r="Q567" s="1"/>
      <c r="R567" s="12"/>
      <c r="S567" s="12"/>
      <c r="T567" s="12"/>
      <c r="U567" s="12"/>
      <c r="V567" s="12"/>
      <c r="W567" s="12"/>
      <c r="X567" s="12"/>
    </row>
    <row r="568" spans="6:24" x14ac:dyDescent="0.35">
      <c r="F568" s="1"/>
      <c r="G568" s="1"/>
      <c r="H568" s="1"/>
      <c r="K568" s="11"/>
      <c r="Q568" s="1"/>
      <c r="R568" s="12"/>
      <c r="S568" s="12"/>
      <c r="T568" s="12"/>
      <c r="U568" s="12"/>
      <c r="V568" s="12"/>
      <c r="W568" s="12"/>
      <c r="X568" s="12"/>
    </row>
    <row r="569" spans="6:24" x14ac:dyDescent="0.35">
      <c r="F569" s="1"/>
      <c r="G569" s="1"/>
      <c r="H569" s="1"/>
      <c r="K569" s="11"/>
      <c r="Q569" s="1"/>
      <c r="R569" s="12"/>
      <c r="S569" s="12"/>
      <c r="T569" s="12"/>
      <c r="U569" s="12"/>
      <c r="V569" s="12"/>
      <c r="W569" s="12"/>
      <c r="X569" s="12"/>
    </row>
    <row r="570" spans="6:24" x14ac:dyDescent="0.35">
      <c r="F570" s="1"/>
      <c r="G570" s="1"/>
      <c r="H570" s="1"/>
      <c r="K570" s="11"/>
      <c r="Q570" s="1"/>
      <c r="R570" s="12"/>
      <c r="S570" s="12"/>
      <c r="T570" s="12"/>
      <c r="U570" s="12"/>
      <c r="V570" s="12"/>
      <c r="W570" s="12"/>
      <c r="X570" s="12"/>
    </row>
    <row r="571" spans="6:24" x14ac:dyDescent="0.35">
      <c r="F571" s="1"/>
      <c r="H571" s="1"/>
      <c r="K571" s="11"/>
      <c r="Q571" s="1"/>
      <c r="R571" s="12"/>
      <c r="S571" s="12"/>
      <c r="T571" s="12"/>
      <c r="U571" s="12"/>
      <c r="V571" s="12"/>
      <c r="W571" s="12"/>
      <c r="X571" s="12"/>
    </row>
    <row r="572" spans="6:24" x14ac:dyDescent="0.35">
      <c r="F572" s="1"/>
      <c r="H572" s="1"/>
      <c r="K572" s="11"/>
      <c r="Q572" s="1"/>
      <c r="R572" s="12"/>
      <c r="S572" s="12"/>
      <c r="T572" s="12"/>
      <c r="U572" s="12"/>
      <c r="V572" s="12"/>
      <c r="W572" s="12"/>
      <c r="X572" s="12"/>
    </row>
    <row r="573" spans="6:24" x14ac:dyDescent="0.35">
      <c r="F573" s="1"/>
      <c r="H573" s="1"/>
      <c r="K573" s="11"/>
      <c r="Q573" s="1"/>
      <c r="R573" s="12"/>
      <c r="S573" s="12"/>
      <c r="T573" s="12"/>
      <c r="U573" s="12"/>
      <c r="V573" s="12"/>
      <c r="W573" s="12"/>
      <c r="X573" s="12"/>
    </row>
    <row r="574" spans="6:24" x14ac:dyDescent="0.35">
      <c r="F574" s="1"/>
      <c r="H574" s="1"/>
      <c r="K574" s="11"/>
      <c r="Q574" s="1"/>
      <c r="R574" s="12"/>
      <c r="S574" s="12"/>
      <c r="T574" s="12"/>
      <c r="U574" s="12"/>
      <c r="V574" s="12"/>
      <c r="W574" s="12"/>
      <c r="X574" s="12"/>
    </row>
    <row r="575" spans="6:24" x14ac:dyDescent="0.35">
      <c r="F575" s="1"/>
      <c r="H575" s="1"/>
      <c r="K575" s="11"/>
      <c r="Q575" s="1"/>
      <c r="R575" s="12"/>
      <c r="S575" s="12"/>
      <c r="T575" s="12"/>
      <c r="U575" s="12"/>
      <c r="V575" s="12"/>
      <c r="W575" s="12"/>
      <c r="X575" s="12"/>
    </row>
    <row r="576" spans="6:24" x14ac:dyDescent="0.35">
      <c r="F576" s="1"/>
      <c r="H576" s="1"/>
      <c r="K576" s="11"/>
      <c r="Q576" s="1"/>
      <c r="R576" s="12"/>
      <c r="S576" s="12"/>
      <c r="T576" s="12"/>
      <c r="U576" s="12"/>
      <c r="V576" s="12"/>
      <c r="W576" s="12"/>
      <c r="X576" s="12"/>
    </row>
    <row r="577" spans="6:24" x14ac:dyDescent="0.35">
      <c r="F577" s="1"/>
      <c r="H577" s="1"/>
      <c r="K577" s="11"/>
      <c r="Q577" s="1"/>
      <c r="R577" s="12"/>
      <c r="S577" s="12"/>
      <c r="T577" s="12"/>
      <c r="U577" s="12"/>
      <c r="V577" s="12"/>
      <c r="W577" s="12"/>
      <c r="X577" s="12"/>
    </row>
    <row r="578" spans="6:24" x14ac:dyDescent="0.35">
      <c r="F578" s="1"/>
      <c r="H578" s="1"/>
      <c r="K578" s="11"/>
      <c r="Q578" s="1"/>
      <c r="R578" s="12"/>
      <c r="S578" s="12"/>
      <c r="T578" s="12"/>
      <c r="U578" s="12"/>
      <c r="V578" s="12"/>
      <c r="W578" s="12"/>
      <c r="X578" s="12"/>
    </row>
    <row r="579" spans="6:24" x14ac:dyDescent="0.35">
      <c r="F579" s="1"/>
      <c r="H579" s="1"/>
      <c r="K579" s="11"/>
      <c r="Q579" s="1"/>
      <c r="R579" s="12"/>
      <c r="S579" s="12"/>
      <c r="T579" s="12"/>
      <c r="U579" s="12"/>
      <c r="V579" s="12"/>
      <c r="W579" s="12"/>
      <c r="X579" s="12"/>
    </row>
    <row r="580" spans="6:24" x14ac:dyDescent="0.35">
      <c r="F580" s="1"/>
      <c r="H580" s="1"/>
      <c r="K580" s="11"/>
      <c r="Q580" s="1"/>
      <c r="R580" s="12"/>
      <c r="S580" s="12"/>
      <c r="T580" s="12"/>
      <c r="U580" s="12"/>
      <c r="V580" s="12"/>
      <c r="W580" s="12"/>
      <c r="X580" s="12"/>
    </row>
    <row r="581" spans="6:24" x14ac:dyDescent="0.35">
      <c r="F581" s="1"/>
      <c r="H581" s="1"/>
      <c r="K581" s="11"/>
      <c r="Q581" s="1"/>
      <c r="R581" s="12"/>
      <c r="S581" s="12"/>
      <c r="T581" s="12"/>
      <c r="U581" s="12"/>
      <c r="V581" s="12"/>
      <c r="W581" s="12"/>
      <c r="X581" s="12"/>
    </row>
    <row r="582" spans="6:24" x14ac:dyDescent="0.35">
      <c r="F582" s="1"/>
      <c r="H582" s="1"/>
      <c r="K582" s="11"/>
      <c r="Q582" s="1"/>
      <c r="R582" s="12"/>
      <c r="S582" s="12"/>
      <c r="T582" s="12"/>
      <c r="U582" s="12"/>
      <c r="V582" s="12"/>
      <c r="W582" s="12"/>
      <c r="X582" s="12"/>
    </row>
    <row r="583" spans="6:24" x14ac:dyDescent="0.35">
      <c r="F583" s="1"/>
      <c r="H583" s="1"/>
      <c r="K583" s="11"/>
      <c r="Q583" s="1"/>
      <c r="R583" s="12"/>
      <c r="S583" s="12"/>
      <c r="T583" s="12"/>
      <c r="U583" s="12"/>
      <c r="V583" s="12"/>
      <c r="W583" s="12"/>
      <c r="X583" s="12"/>
    </row>
    <row r="584" spans="6:24" x14ac:dyDescent="0.35">
      <c r="F584" s="1"/>
      <c r="H584" s="1"/>
      <c r="K584" s="11"/>
      <c r="Q584" s="1"/>
      <c r="R584" s="12"/>
      <c r="S584" s="12"/>
      <c r="T584" s="12"/>
      <c r="U584" s="12"/>
      <c r="V584" s="12"/>
      <c r="W584" s="12"/>
      <c r="X584" s="12"/>
    </row>
    <row r="585" spans="6:24" x14ac:dyDescent="0.35">
      <c r="F585" s="1"/>
      <c r="H585" s="1"/>
      <c r="K585" s="11"/>
      <c r="Q585" s="1"/>
      <c r="R585" s="12"/>
      <c r="S585" s="12"/>
      <c r="T585" s="12"/>
      <c r="U585" s="12"/>
      <c r="V585" s="12"/>
      <c r="W585" s="12"/>
      <c r="X585" s="12"/>
    </row>
    <row r="586" spans="6:24" x14ac:dyDescent="0.35">
      <c r="F586" s="1"/>
      <c r="H586" s="1"/>
      <c r="K586" s="11"/>
      <c r="Q586" s="1"/>
      <c r="R586" s="12"/>
      <c r="S586" s="12"/>
      <c r="T586" s="12"/>
      <c r="U586" s="12"/>
      <c r="V586" s="12"/>
      <c r="W586" s="12"/>
      <c r="X586" s="12"/>
    </row>
    <row r="587" spans="6:24" x14ac:dyDescent="0.35">
      <c r="F587" s="1"/>
      <c r="H587" s="1"/>
      <c r="K587" s="11"/>
      <c r="Q587" s="1"/>
      <c r="R587" s="12"/>
      <c r="S587" s="12"/>
      <c r="T587" s="12"/>
      <c r="U587" s="12"/>
      <c r="V587" s="12"/>
      <c r="W587" s="12"/>
      <c r="X587" s="12"/>
    </row>
    <row r="588" spans="6:24" x14ac:dyDescent="0.35">
      <c r="F588" s="1"/>
      <c r="H588" s="1"/>
      <c r="K588" s="11"/>
      <c r="Q588" s="1"/>
      <c r="R588" s="12"/>
      <c r="S588" s="12"/>
      <c r="T588" s="12"/>
      <c r="U588" s="12"/>
      <c r="V588" s="12"/>
      <c r="W588" s="12"/>
      <c r="X588" s="12"/>
    </row>
    <row r="589" spans="6:24" x14ac:dyDescent="0.35">
      <c r="F589" s="1"/>
      <c r="H589" s="1"/>
      <c r="K589" s="11"/>
      <c r="Q589" s="1"/>
      <c r="R589" s="12"/>
      <c r="S589" s="12"/>
      <c r="T589" s="12"/>
      <c r="U589" s="12"/>
      <c r="V589" s="12"/>
      <c r="W589" s="12"/>
      <c r="X589" s="12"/>
    </row>
    <row r="590" spans="6:24" x14ac:dyDescent="0.35">
      <c r="F590" s="1"/>
      <c r="H590" s="1"/>
      <c r="K590" s="11"/>
      <c r="Q590" s="1"/>
      <c r="R590" s="12"/>
      <c r="S590" s="12"/>
      <c r="T590" s="12"/>
      <c r="U590" s="12"/>
      <c r="V590" s="12"/>
      <c r="W590" s="12"/>
      <c r="X590" s="12"/>
    </row>
    <row r="591" spans="6:24" x14ac:dyDescent="0.35">
      <c r="F591" s="1"/>
      <c r="H591" s="1"/>
      <c r="K591" s="11"/>
      <c r="Q591" s="1"/>
      <c r="R591" s="12"/>
      <c r="S591" s="12"/>
      <c r="T591" s="12"/>
      <c r="U591" s="12"/>
      <c r="V591" s="12"/>
      <c r="W591" s="12"/>
      <c r="X591" s="12"/>
    </row>
    <row r="592" spans="6:24" x14ac:dyDescent="0.35">
      <c r="F592" s="1"/>
      <c r="H592" s="1"/>
      <c r="K592" s="11"/>
      <c r="Q592" s="1"/>
      <c r="R592" s="12"/>
      <c r="S592" s="12"/>
      <c r="T592" s="12"/>
      <c r="U592" s="12"/>
      <c r="V592" s="12"/>
      <c r="W592" s="12"/>
      <c r="X592" s="12"/>
    </row>
    <row r="593" spans="6:24" x14ac:dyDescent="0.35">
      <c r="F593" s="1"/>
      <c r="H593" s="1"/>
      <c r="K593" s="11"/>
      <c r="Q593" s="1"/>
      <c r="R593" s="12"/>
      <c r="S593" s="12"/>
      <c r="T593" s="12"/>
      <c r="U593" s="12"/>
      <c r="V593" s="12"/>
      <c r="W593" s="12"/>
      <c r="X593" s="12"/>
    </row>
    <row r="594" spans="6:24" x14ac:dyDescent="0.35">
      <c r="F594" s="1"/>
      <c r="H594" s="1"/>
      <c r="K594" s="11"/>
      <c r="Q594" s="1"/>
      <c r="R594" s="12"/>
      <c r="S594" s="12"/>
      <c r="T594" s="12"/>
      <c r="U594" s="12"/>
      <c r="V594" s="12"/>
      <c r="W594" s="12"/>
      <c r="X594" s="12"/>
    </row>
    <row r="595" spans="6:24" x14ac:dyDescent="0.35">
      <c r="F595" s="1"/>
      <c r="H595" s="1"/>
      <c r="K595" s="11"/>
      <c r="Q595" s="1"/>
      <c r="R595" s="12"/>
      <c r="S595" s="12"/>
      <c r="T595" s="12"/>
      <c r="U595" s="12"/>
      <c r="V595" s="12"/>
      <c r="W595" s="12"/>
      <c r="X595" s="12"/>
    </row>
    <row r="596" spans="6:24" x14ac:dyDescent="0.35">
      <c r="F596" s="1"/>
      <c r="H596" s="1"/>
      <c r="K596" s="11"/>
      <c r="Q596" s="1"/>
      <c r="R596" s="12"/>
      <c r="S596" s="12"/>
      <c r="T596" s="12"/>
      <c r="U596" s="12"/>
      <c r="V596" s="12"/>
      <c r="W596" s="12"/>
      <c r="X596" s="12"/>
    </row>
    <row r="597" spans="6:24" x14ac:dyDescent="0.35">
      <c r="F597" s="1"/>
      <c r="H597" s="1"/>
      <c r="K597" s="11"/>
      <c r="Q597" s="1"/>
      <c r="R597" s="12"/>
      <c r="S597" s="12"/>
      <c r="T597" s="12"/>
      <c r="U597" s="12"/>
      <c r="V597" s="12"/>
      <c r="W597" s="12"/>
      <c r="X597" s="12"/>
    </row>
    <row r="598" spans="6:24" x14ac:dyDescent="0.35">
      <c r="F598" s="1"/>
      <c r="H598" s="1"/>
      <c r="K598" s="11"/>
      <c r="Q598" s="1"/>
      <c r="R598" s="12"/>
      <c r="S598" s="12"/>
      <c r="T598" s="12"/>
      <c r="U598" s="12"/>
      <c r="V598" s="12"/>
      <c r="W598" s="12"/>
      <c r="X598" s="12"/>
    </row>
    <row r="599" spans="6:24" x14ac:dyDescent="0.35">
      <c r="F599" s="1"/>
      <c r="H599" s="1"/>
      <c r="K599" s="11"/>
      <c r="Q599" s="1"/>
      <c r="R599" s="12"/>
      <c r="S599" s="12"/>
      <c r="T599" s="12"/>
      <c r="U599" s="12"/>
      <c r="V599" s="12"/>
      <c r="W599" s="12"/>
      <c r="X599" s="12"/>
    </row>
    <row r="600" spans="6:24" x14ac:dyDescent="0.35">
      <c r="F600" s="1"/>
      <c r="H600" s="1"/>
      <c r="K600" s="11"/>
      <c r="Q600" s="1"/>
      <c r="R600" s="12"/>
      <c r="S600" s="12"/>
      <c r="T600" s="12"/>
      <c r="U600" s="12"/>
      <c r="V600" s="12"/>
      <c r="W600" s="12"/>
      <c r="X600" s="12"/>
    </row>
    <row r="601" spans="6:24" x14ac:dyDescent="0.35">
      <c r="F601" s="1"/>
      <c r="H601" s="1"/>
      <c r="K601" s="11"/>
      <c r="Q601" s="1"/>
      <c r="R601" s="12"/>
      <c r="S601" s="12"/>
      <c r="T601" s="12"/>
      <c r="U601" s="12"/>
      <c r="V601" s="12"/>
      <c r="W601" s="12"/>
      <c r="X601" s="12"/>
    </row>
    <row r="602" spans="6:24" x14ac:dyDescent="0.35">
      <c r="F602" s="1"/>
      <c r="H602" s="1"/>
      <c r="K602" s="11"/>
      <c r="Q602" s="1"/>
      <c r="R602" s="12"/>
      <c r="S602" s="12"/>
      <c r="T602" s="12"/>
      <c r="U602" s="12"/>
      <c r="V602" s="12"/>
      <c r="W602" s="12"/>
      <c r="X602" s="12"/>
    </row>
    <row r="603" spans="6:24" x14ac:dyDescent="0.35">
      <c r="F603" s="1"/>
      <c r="H603" s="1"/>
      <c r="K603" s="11"/>
      <c r="Q603" s="1"/>
      <c r="R603" s="12"/>
      <c r="S603" s="12"/>
      <c r="T603" s="12"/>
      <c r="U603" s="12"/>
      <c r="V603" s="12"/>
      <c r="W603" s="12"/>
      <c r="X603" s="12"/>
    </row>
    <row r="604" spans="6:24" x14ac:dyDescent="0.35">
      <c r="F604" s="1"/>
      <c r="H604" s="1"/>
      <c r="K604" s="11"/>
      <c r="Q604" s="1"/>
      <c r="R604" s="12"/>
      <c r="S604" s="12"/>
      <c r="T604" s="12"/>
      <c r="U604" s="12"/>
      <c r="V604" s="12"/>
      <c r="W604" s="12"/>
      <c r="X604" s="12"/>
    </row>
    <row r="605" spans="6:24" x14ac:dyDescent="0.35">
      <c r="F605" s="1"/>
      <c r="H605" s="1"/>
      <c r="K605" s="11"/>
      <c r="Q605" s="1"/>
      <c r="R605" s="12"/>
      <c r="S605" s="12"/>
      <c r="T605" s="12"/>
      <c r="U605" s="12"/>
      <c r="V605" s="12"/>
      <c r="W605" s="12"/>
      <c r="X605" s="12"/>
    </row>
    <row r="606" spans="6:24" x14ac:dyDescent="0.35">
      <c r="F606" s="1"/>
      <c r="H606" s="1"/>
      <c r="K606" s="11"/>
      <c r="Q606" s="1"/>
      <c r="R606" s="12"/>
      <c r="S606" s="12"/>
      <c r="T606" s="12"/>
      <c r="U606" s="12"/>
      <c r="V606" s="12"/>
      <c r="W606" s="12"/>
      <c r="X606" s="12"/>
    </row>
    <row r="607" spans="6:24" x14ac:dyDescent="0.35">
      <c r="F607" s="1"/>
      <c r="H607" s="1"/>
      <c r="K607" s="11"/>
      <c r="Q607" s="1"/>
      <c r="R607" s="12"/>
      <c r="S607" s="12"/>
      <c r="T607" s="12"/>
      <c r="U607" s="12"/>
      <c r="V607" s="12"/>
      <c r="W607" s="12"/>
      <c r="X607" s="12"/>
    </row>
    <row r="608" spans="6:24" x14ac:dyDescent="0.35">
      <c r="F608" s="1"/>
      <c r="H608" s="1"/>
      <c r="K608" s="11"/>
      <c r="Q608" s="1"/>
      <c r="R608" s="12"/>
      <c r="S608" s="12"/>
      <c r="T608" s="12"/>
      <c r="U608" s="12"/>
      <c r="V608" s="12"/>
      <c r="W608" s="12"/>
      <c r="X608" s="12"/>
    </row>
    <row r="609" spans="6:24" x14ac:dyDescent="0.35">
      <c r="F609" s="1"/>
      <c r="H609" s="1"/>
      <c r="K609" s="11"/>
      <c r="Q609" s="1"/>
      <c r="R609" s="12"/>
      <c r="S609" s="12"/>
      <c r="T609" s="12"/>
      <c r="U609" s="12"/>
      <c r="V609" s="12"/>
      <c r="W609" s="12"/>
      <c r="X609" s="12"/>
    </row>
    <row r="610" spans="6:24" x14ac:dyDescent="0.35">
      <c r="F610" s="1"/>
      <c r="H610" s="1"/>
      <c r="K610" s="11"/>
      <c r="Q610" s="1"/>
      <c r="R610" s="12"/>
      <c r="S610" s="12"/>
      <c r="T610" s="12"/>
      <c r="U610" s="12"/>
      <c r="V610" s="12"/>
      <c r="W610" s="12"/>
      <c r="X610" s="12"/>
    </row>
    <row r="611" spans="6:24" x14ac:dyDescent="0.35">
      <c r="F611" s="1"/>
      <c r="H611" s="1"/>
      <c r="K611" s="11"/>
      <c r="Q611" s="1"/>
      <c r="R611" s="12"/>
      <c r="S611" s="12"/>
      <c r="T611" s="12"/>
      <c r="U611" s="12"/>
      <c r="V611" s="12"/>
      <c r="W611" s="12"/>
      <c r="X611" s="12"/>
    </row>
    <row r="612" spans="6:24" x14ac:dyDescent="0.35">
      <c r="F612" s="1"/>
      <c r="H612" s="1"/>
      <c r="K612" s="11"/>
      <c r="Q612" s="1"/>
      <c r="R612" s="12"/>
      <c r="S612" s="12"/>
      <c r="T612" s="12"/>
      <c r="U612" s="12"/>
      <c r="V612" s="12"/>
      <c r="W612" s="12"/>
      <c r="X612" s="12"/>
    </row>
    <row r="613" spans="6:24" x14ac:dyDescent="0.35">
      <c r="F613" s="1"/>
      <c r="H613" s="1"/>
      <c r="K613" s="11"/>
      <c r="Q613" s="1"/>
      <c r="R613" s="12"/>
      <c r="S613" s="12"/>
      <c r="T613" s="12"/>
      <c r="U613" s="12"/>
      <c r="V613" s="12"/>
      <c r="W613" s="12"/>
      <c r="X613" s="12"/>
    </row>
    <row r="614" spans="6:24" x14ac:dyDescent="0.35">
      <c r="F614" s="1"/>
      <c r="H614" s="92"/>
      <c r="K614" s="11"/>
      <c r="Q614" s="1"/>
      <c r="R614" s="12"/>
      <c r="S614" s="12"/>
      <c r="T614" s="12"/>
      <c r="U614" s="12"/>
      <c r="V614" s="12"/>
      <c r="W614" s="12"/>
      <c r="X614" s="12"/>
    </row>
    <row r="615" spans="6:24" x14ac:dyDescent="0.35">
      <c r="F615" s="1"/>
      <c r="G615" s="1"/>
      <c r="H615" s="1"/>
      <c r="K615" s="11"/>
      <c r="Q615" s="1"/>
      <c r="R615" s="12"/>
      <c r="S615" s="12"/>
      <c r="T615" s="12"/>
      <c r="U615" s="12"/>
      <c r="V615" s="12"/>
      <c r="W615" s="12"/>
      <c r="X615" s="12"/>
    </row>
    <row r="616" spans="6:24" x14ac:dyDescent="0.35">
      <c r="F616" s="1"/>
      <c r="G616" s="1"/>
      <c r="H616" s="1"/>
      <c r="K616" s="11"/>
      <c r="Q616" s="1"/>
      <c r="R616" s="12"/>
      <c r="S616" s="12"/>
      <c r="T616" s="12"/>
      <c r="U616" s="12"/>
      <c r="V616" s="12"/>
      <c r="W616" s="12"/>
      <c r="X616" s="12"/>
    </row>
    <row r="617" spans="6:24" x14ac:dyDescent="0.35">
      <c r="F617" s="1"/>
      <c r="G617" s="1"/>
      <c r="H617" s="1"/>
      <c r="K617" s="11"/>
      <c r="Q617" s="1"/>
      <c r="R617" s="12"/>
      <c r="S617" s="12"/>
      <c r="T617" s="12"/>
      <c r="U617" s="12"/>
      <c r="V617" s="12"/>
      <c r="W617" s="12"/>
      <c r="X617" s="12"/>
    </row>
    <row r="618" spans="6:24" x14ac:dyDescent="0.35">
      <c r="F618" s="1"/>
      <c r="G618" s="1"/>
      <c r="H618" s="1"/>
      <c r="K618" s="11"/>
      <c r="Q618" s="1"/>
      <c r="R618" s="12"/>
      <c r="S618" s="12"/>
      <c r="T618" s="12"/>
      <c r="U618" s="12"/>
      <c r="V618" s="12"/>
      <c r="W618" s="12"/>
      <c r="X618" s="12"/>
    </row>
    <row r="619" spans="6:24" x14ac:dyDescent="0.35">
      <c r="F619" s="1"/>
      <c r="H619" s="1"/>
      <c r="K619" s="11"/>
      <c r="Q619" s="1"/>
      <c r="R619" s="12"/>
      <c r="S619" s="12"/>
      <c r="T619" s="12"/>
      <c r="U619" s="12"/>
      <c r="V619" s="12"/>
      <c r="W619" s="12"/>
      <c r="X619" s="12"/>
    </row>
    <row r="620" spans="6:24" x14ac:dyDescent="0.35">
      <c r="F620" s="1"/>
      <c r="H620" s="1"/>
      <c r="K620" s="11"/>
      <c r="Q620" s="1"/>
      <c r="R620" s="12"/>
      <c r="S620" s="12"/>
      <c r="T620" s="12"/>
      <c r="U620" s="12"/>
      <c r="V620" s="12"/>
      <c r="W620" s="12"/>
      <c r="X620" s="12"/>
    </row>
    <row r="621" spans="6:24" x14ac:dyDescent="0.35">
      <c r="F621" s="1"/>
      <c r="K621" s="11"/>
      <c r="Q621" s="1"/>
      <c r="R621" s="12"/>
      <c r="S621" s="12"/>
      <c r="T621" s="12"/>
      <c r="U621" s="12"/>
      <c r="V621" s="12"/>
      <c r="W621" s="12"/>
      <c r="X621" s="12"/>
    </row>
    <row r="622" spans="6:24" x14ac:dyDescent="0.35">
      <c r="F622" s="1"/>
      <c r="K622" s="11"/>
      <c r="Q622" s="1"/>
      <c r="R622" s="12"/>
      <c r="S622" s="12"/>
      <c r="T622" s="12"/>
      <c r="U622" s="12"/>
      <c r="V622" s="12"/>
      <c r="W622" s="12"/>
      <c r="X622" s="12"/>
    </row>
    <row r="623" spans="6:24" x14ac:dyDescent="0.35">
      <c r="F623" s="1"/>
      <c r="K623" s="11"/>
      <c r="Q623" s="1"/>
      <c r="R623" s="12"/>
      <c r="S623" s="12"/>
      <c r="T623" s="12"/>
      <c r="U623" s="12"/>
      <c r="V623" s="12"/>
      <c r="W623" s="12"/>
      <c r="X623" s="12"/>
    </row>
    <row r="624" spans="6:24" x14ac:dyDescent="0.35">
      <c r="F624" s="1"/>
      <c r="K624" s="11"/>
      <c r="Q624" s="1"/>
      <c r="R624" s="12"/>
      <c r="S624" s="12"/>
      <c r="T624" s="12"/>
      <c r="U624" s="12"/>
      <c r="V624" s="12"/>
      <c r="W624" s="12"/>
      <c r="X624" s="12"/>
    </row>
    <row r="625" spans="6:24" x14ac:dyDescent="0.35">
      <c r="F625" s="1"/>
      <c r="K625" s="11"/>
      <c r="Q625" s="1"/>
      <c r="R625" s="12"/>
      <c r="S625" s="12"/>
      <c r="T625" s="12"/>
      <c r="U625" s="12"/>
      <c r="V625" s="12"/>
      <c r="W625" s="12"/>
      <c r="X625" s="12"/>
    </row>
    <row r="626" spans="6:24" x14ac:dyDescent="0.35">
      <c r="F626" s="1"/>
      <c r="K626" s="11"/>
      <c r="Q626" s="1"/>
      <c r="R626" s="12"/>
      <c r="S626" s="12"/>
      <c r="T626" s="12"/>
      <c r="U626" s="12"/>
      <c r="V626" s="12"/>
      <c r="W626" s="12"/>
      <c r="X626" s="12"/>
    </row>
    <row r="627" spans="6:24" x14ac:dyDescent="0.35">
      <c r="F627" s="1"/>
      <c r="K627" s="11"/>
      <c r="Q627" s="1"/>
      <c r="R627" s="12"/>
      <c r="S627" s="12"/>
      <c r="T627" s="12"/>
      <c r="U627" s="12"/>
      <c r="V627" s="12"/>
      <c r="W627" s="12"/>
      <c r="X627" s="12"/>
    </row>
    <row r="628" spans="6:24" x14ac:dyDescent="0.35">
      <c r="F628" s="1"/>
      <c r="K628" s="11"/>
      <c r="Q628" s="1"/>
      <c r="R628" s="12"/>
      <c r="S628" s="12"/>
      <c r="T628" s="12"/>
      <c r="U628" s="12"/>
      <c r="V628" s="12"/>
      <c r="W628" s="12"/>
      <c r="X628" s="12"/>
    </row>
    <row r="629" spans="6:24" x14ac:dyDescent="0.35">
      <c r="F629" s="1"/>
      <c r="K629" s="11"/>
      <c r="Q629" s="1"/>
      <c r="R629" s="12"/>
      <c r="S629" s="12"/>
      <c r="T629" s="12"/>
      <c r="U629" s="12"/>
      <c r="V629" s="12"/>
      <c r="W629" s="12"/>
      <c r="X629" s="12"/>
    </row>
    <row r="630" spans="6:24" x14ac:dyDescent="0.35">
      <c r="F630" s="1"/>
      <c r="K630" s="11"/>
      <c r="Q630" s="1"/>
      <c r="R630" s="12"/>
      <c r="S630" s="12"/>
      <c r="T630" s="12"/>
      <c r="U630" s="12"/>
      <c r="V630" s="12"/>
      <c r="W630" s="12"/>
      <c r="X630" s="12"/>
    </row>
    <row r="631" spans="6:24" x14ac:dyDescent="0.35">
      <c r="F631" s="1"/>
      <c r="K631" s="11"/>
      <c r="Q631" s="1"/>
      <c r="R631" s="12"/>
      <c r="S631" s="12"/>
      <c r="T631" s="12"/>
      <c r="U631" s="12"/>
      <c r="V631" s="12"/>
      <c r="W631" s="12"/>
      <c r="X631" s="12"/>
    </row>
    <row r="632" spans="6:24" x14ac:dyDescent="0.35">
      <c r="F632" s="1"/>
      <c r="K632" s="11"/>
      <c r="Q632" s="1"/>
      <c r="R632" s="12"/>
      <c r="S632" s="12"/>
      <c r="T632" s="12"/>
      <c r="U632" s="12"/>
      <c r="V632" s="12"/>
      <c r="W632" s="12"/>
      <c r="X632" s="12"/>
    </row>
    <row r="633" spans="6:24" x14ac:dyDescent="0.35">
      <c r="F633" s="1"/>
      <c r="K633" s="11"/>
      <c r="Q633" s="1"/>
      <c r="R633" s="12"/>
      <c r="S633" s="12"/>
      <c r="T633" s="12"/>
      <c r="U633" s="12"/>
      <c r="V633" s="12"/>
      <c r="W633" s="12"/>
      <c r="X633" s="12"/>
    </row>
    <row r="634" spans="6:24" x14ac:dyDescent="0.35">
      <c r="F634" s="1"/>
      <c r="K634" s="11"/>
      <c r="Q634" s="1"/>
      <c r="R634" s="12"/>
      <c r="S634" s="12"/>
      <c r="T634" s="12"/>
      <c r="U634" s="12"/>
      <c r="V634" s="12"/>
      <c r="W634" s="12"/>
      <c r="X634" s="12"/>
    </row>
    <row r="635" spans="6:24" x14ac:dyDescent="0.35">
      <c r="F635" s="1"/>
      <c r="K635" s="11"/>
      <c r="Q635" s="1"/>
      <c r="R635" s="12"/>
      <c r="S635" s="12"/>
      <c r="T635" s="12"/>
      <c r="U635" s="12"/>
      <c r="V635" s="12"/>
      <c r="W635" s="12"/>
      <c r="X635" s="12"/>
    </row>
    <row r="636" spans="6:24" x14ac:dyDescent="0.35">
      <c r="F636" s="1"/>
      <c r="K636" s="11"/>
      <c r="Q636" s="1"/>
      <c r="R636" s="12"/>
      <c r="S636" s="12"/>
      <c r="T636" s="12"/>
      <c r="U636" s="12"/>
      <c r="V636" s="12"/>
      <c r="W636" s="12"/>
      <c r="X636" s="12"/>
    </row>
    <row r="637" spans="6:24" x14ac:dyDescent="0.35">
      <c r="F637" s="1"/>
      <c r="K637" s="11"/>
      <c r="Q637" s="1"/>
      <c r="R637" s="12"/>
      <c r="S637" s="12"/>
      <c r="T637" s="12"/>
      <c r="U637" s="12"/>
      <c r="V637" s="12"/>
      <c r="W637" s="12"/>
      <c r="X637" s="12"/>
    </row>
    <row r="638" spans="6:24" x14ac:dyDescent="0.35">
      <c r="F638" s="1"/>
      <c r="K638" s="11"/>
      <c r="Q638" s="1"/>
      <c r="R638" s="12"/>
      <c r="S638" s="12"/>
      <c r="T638" s="12"/>
      <c r="U638" s="12"/>
      <c r="V638" s="12"/>
      <c r="W638" s="12"/>
      <c r="X638" s="12"/>
    </row>
    <row r="639" spans="6:24" x14ac:dyDescent="0.35">
      <c r="F639" s="1"/>
      <c r="K639" s="11"/>
      <c r="Q639" s="1"/>
      <c r="R639" s="12"/>
      <c r="S639" s="12"/>
      <c r="T639" s="12"/>
      <c r="U639" s="12"/>
      <c r="V639" s="12"/>
      <c r="W639" s="12"/>
      <c r="X639" s="12"/>
    </row>
    <row r="640" spans="6:24" x14ac:dyDescent="0.35">
      <c r="F640" s="1"/>
      <c r="K640" s="11"/>
      <c r="Q640" s="1"/>
      <c r="R640" s="12"/>
      <c r="S640" s="12"/>
      <c r="T640" s="12"/>
      <c r="U640" s="12"/>
      <c r="V640" s="12"/>
      <c r="W640" s="12"/>
      <c r="X640" s="12"/>
    </row>
    <row r="641" spans="6:24" x14ac:dyDescent="0.35">
      <c r="F641" s="1"/>
      <c r="K641" s="11"/>
      <c r="Q641" s="1"/>
      <c r="R641" s="12"/>
      <c r="S641" s="12"/>
      <c r="T641" s="12"/>
      <c r="U641" s="12"/>
      <c r="V641" s="12"/>
      <c r="W641" s="12"/>
      <c r="X641" s="12"/>
    </row>
    <row r="642" spans="6:24" x14ac:dyDescent="0.35">
      <c r="F642" s="1"/>
      <c r="H642" s="1"/>
      <c r="K642" s="11"/>
      <c r="Q642" s="1"/>
      <c r="R642" s="12"/>
      <c r="S642" s="12"/>
      <c r="T642" s="12"/>
      <c r="U642" s="12"/>
      <c r="V642" s="12"/>
      <c r="W642" s="12"/>
      <c r="X642" s="12"/>
    </row>
    <row r="643" spans="6:24" x14ac:dyDescent="0.35">
      <c r="F643" s="1"/>
      <c r="G643" s="1"/>
      <c r="H643" s="1"/>
      <c r="K643" s="11"/>
      <c r="Q643" s="1"/>
    </row>
    <row r="644" spans="6:24" x14ac:dyDescent="0.35">
      <c r="F644" s="1"/>
      <c r="G644" s="1"/>
      <c r="H644" s="1"/>
      <c r="K644" s="11"/>
      <c r="Q644" s="1"/>
    </row>
    <row r="645" spans="6:24" x14ac:dyDescent="0.35">
      <c r="F645" s="1"/>
      <c r="H645" s="1"/>
      <c r="K645" s="11"/>
      <c r="Q645" s="1"/>
    </row>
    <row r="646" spans="6:24" x14ac:dyDescent="0.35">
      <c r="F646" s="1"/>
      <c r="G646" s="1"/>
      <c r="H646" s="1"/>
      <c r="K646" s="11"/>
      <c r="Q646" s="1"/>
    </row>
    <row r="647" spans="6:24" x14ac:dyDescent="0.35">
      <c r="F647" s="1"/>
      <c r="G647" s="92"/>
      <c r="H647" s="92"/>
      <c r="K647" s="11"/>
      <c r="Q647" s="92"/>
    </row>
    <row r="648" spans="6:24" x14ac:dyDescent="0.35">
      <c r="F648" s="1"/>
      <c r="G648" s="1"/>
      <c r="H648" s="1"/>
      <c r="K648" s="11"/>
      <c r="Q648" s="1"/>
    </row>
    <row r="649" spans="6:24" x14ac:dyDescent="0.35">
      <c r="F649" s="1"/>
      <c r="G649" s="1"/>
      <c r="H649" s="1"/>
      <c r="K649" s="11"/>
      <c r="Q649" s="1"/>
    </row>
    <row r="650" spans="6:24" x14ac:dyDescent="0.35">
      <c r="F650" s="1"/>
      <c r="G650" s="92"/>
      <c r="H650" s="1"/>
      <c r="K650" s="11"/>
      <c r="Q650" s="1"/>
    </row>
    <row r="651" spans="6:24" x14ac:dyDescent="0.35">
      <c r="F651" s="1"/>
      <c r="G651" s="92"/>
      <c r="H651" s="1"/>
      <c r="K651" s="11"/>
      <c r="Q651" s="1"/>
    </row>
    <row r="652" spans="6:24" x14ac:dyDescent="0.35">
      <c r="F652" s="1"/>
      <c r="G652" s="92"/>
      <c r="H652" s="92"/>
      <c r="K652" s="11"/>
      <c r="Q652" s="1"/>
    </row>
    <row r="653" spans="6:24" x14ac:dyDescent="0.35">
      <c r="F653" s="1"/>
      <c r="H653" s="92"/>
      <c r="K653" s="11"/>
      <c r="Q653" s="1"/>
    </row>
    <row r="654" spans="6:24" x14ac:dyDescent="0.35">
      <c r="F654" s="1"/>
      <c r="H654" s="92"/>
      <c r="K654" s="11"/>
      <c r="Q654" s="1"/>
    </row>
    <row r="655" spans="6:24" x14ac:dyDescent="0.35">
      <c r="F655" s="1"/>
      <c r="K655" s="11"/>
      <c r="Q655" s="1"/>
    </row>
    <row r="656" spans="6:24" x14ac:dyDescent="0.35">
      <c r="F656" s="1"/>
      <c r="K656" s="11"/>
      <c r="Q656" s="1"/>
    </row>
    <row r="657" spans="6:17" x14ac:dyDescent="0.35">
      <c r="F657" s="1"/>
      <c r="K657" s="11"/>
      <c r="Q657" s="1"/>
    </row>
    <row r="658" spans="6:17" x14ac:dyDescent="0.35">
      <c r="F658" s="1"/>
      <c r="K658" s="11"/>
      <c r="Q658" s="1"/>
    </row>
    <row r="659" spans="6:17" x14ac:dyDescent="0.35">
      <c r="F659" s="1"/>
      <c r="K659" s="11"/>
      <c r="Q659" s="1"/>
    </row>
    <row r="660" spans="6:17" x14ac:dyDescent="0.35">
      <c r="F660" s="1"/>
      <c r="K660" s="11"/>
      <c r="Q660" s="1"/>
    </row>
    <row r="661" spans="6:17" x14ac:dyDescent="0.35">
      <c r="F661" s="1"/>
      <c r="K661" s="11"/>
      <c r="Q661" s="1"/>
    </row>
    <row r="662" spans="6:17" x14ac:dyDescent="0.35">
      <c r="F662" s="1"/>
      <c r="K662" s="11"/>
      <c r="Q662" s="1"/>
    </row>
    <row r="663" spans="6:17" x14ac:dyDescent="0.35">
      <c r="F663" s="1"/>
      <c r="K663" s="11"/>
      <c r="Q663" s="1"/>
    </row>
    <row r="664" spans="6:17" x14ac:dyDescent="0.35">
      <c r="F664" s="1"/>
      <c r="K664" s="11"/>
      <c r="Q664" s="1"/>
    </row>
    <row r="665" spans="6:17" x14ac:dyDescent="0.35">
      <c r="F665" s="1"/>
      <c r="G665" s="1"/>
      <c r="H665" s="1"/>
      <c r="K665" s="11"/>
      <c r="Q665" s="1"/>
    </row>
    <row r="666" spans="6:17" x14ac:dyDescent="0.35">
      <c r="F666" s="1"/>
      <c r="G666" s="1"/>
      <c r="H666" s="1"/>
      <c r="K666" s="11"/>
      <c r="Q666" s="1"/>
    </row>
    <row r="667" spans="6:17" x14ac:dyDescent="0.35">
      <c r="F667" s="1"/>
      <c r="K667" s="11"/>
      <c r="Q667" s="1"/>
    </row>
    <row r="668" spans="6:17" x14ac:dyDescent="0.35">
      <c r="F668" s="1"/>
      <c r="G668" s="92"/>
      <c r="H668" s="92"/>
      <c r="K668" s="11"/>
      <c r="Q668" s="1"/>
    </row>
    <row r="669" spans="6:17" x14ac:dyDescent="0.35">
      <c r="F669" s="1"/>
      <c r="G669" s="92"/>
      <c r="H669" s="92"/>
      <c r="K669" s="11"/>
      <c r="Q669" s="1"/>
    </row>
    <row r="670" spans="6:17" x14ac:dyDescent="0.35">
      <c r="F670" s="1"/>
      <c r="K670" s="11"/>
      <c r="Q670" s="1"/>
    </row>
    <row r="671" spans="6:17" x14ac:dyDescent="0.35">
      <c r="F671" s="1"/>
      <c r="K671" s="11"/>
      <c r="Q671" s="1"/>
    </row>
    <row r="672" spans="6:17" x14ac:dyDescent="0.35">
      <c r="F672" s="1"/>
      <c r="K672" s="11"/>
      <c r="Q672" s="1"/>
    </row>
    <row r="673" spans="6:17" x14ac:dyDescent="0.35">
      <c r="F673" s="1"/>
      <c r="K673" s="11"/>
      <c r="Q673" s="1"/>
    </row>
    <row r="674" spans="6:17" x14ac:dyDescent="0.35">
      <c r="F674" s="1"/>
      <c r="K674" s="11"/>
      <c r="Q674" s="1"/>
    </row>
    <row r="675" spans="6:17" x14ac:dyDescent="0.35">
      <c r="F675" s="1"/>
      <c r="K675" s="11"/>
      <c r="Q675" s="1"/>
    </row>
    <row r="676" spans="6:17" x14ac:dyDescent="0.35">
      <c r="F676" s="1"/>
      <c r="H676" s="1"/>
      <c r="K676" s="11"/>
      <c r="Q676" s="1"/>
    </row>
    <row r="677" spans="6:17" x14ac:dyDescent="0.35">
      <c r="F677" s="92"/>
      <c r="Q677" s="92"/>
    </row>
    <row r="678" spans="6:17" x14ac:dyDescent="0.35">
      <c r="F678" s="92"/>
      <c r="Q678" s="92"/>
    </row>
    <row r="679" spans="6:17" x14ac:dyDescent="0.35">
      <c r="F679" s="92"/>
      <c r="H679" s="92"/>
      <c r="Q679" s="92"/>
    </row>
  </sheetData>
  <autoFilter ref="A1:AO249" xr:uid="{DFA23559-8FF7-4443-8E15-F9BBF2C017EE}"/>
  <mergeCells count="2">
    <mergeCell ref="AQ2:AQ6"/>
    <mergeCell ref="AQ8:AQ1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9F4B84DE837C4F871D847953099391" ma:contentTypeVersion="19" ma:contentTypeDescription="Crear nuevo documento." ma:contentTypeScope="" ma:versionID="263cfd3fa839fccb2f8f21b92941f920">
  <xsd:schema xmlns:xsd="http://www.w3.org/2001/XMLSchema" xmlns:xs="http://www.w3.org/2001/XMLSchema" xmlns:p="http://schemas.microsoft.com/office/2006/metadata/properties" xmlns:ns2="0a8f974f-0f9a-46b6-9bcc-f7639e41dd40" xmlns:ns3="8281beca-add5-41bc-bd52-1eb3d13116f3" targetNamespace="http://schemas.microsoft.com/office/2006/metadata/properties" ma:root="true" ma:fieldsID="38020d14e08e5038621ac432cc5957bc" ns2:_="" ns3:_="">
    <xsd:import namespace="0a8f974f-0f9a-46b6-9bcc-f7639e41dd40"/>
    <xsd:import namespace="8281beca-add5-41bc-bd52-1eb3d13116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8f974f-0f9a-46b6-9bcc-f7639e41dd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dac8831b-3ce5-404b-b810-39f79b498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81beca-add5-41bc-bd52-1eb3d13116f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4fbbb74-e9ff-457b-a879-0158dc30f83f}" ma:internalName="TaxCatchAll" ma:showField="CatchAllData" ma:web="8281beca-add5-41bc-bd52-1eb3d13116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8f974f-0f9a-46b6-9bcc-f7639e41dd40">
      <Terms xmlns="http://schemas.microsoft.com/office/infopath/2007/PartnerControls"/>
    </lcf76f155ced4ddcb4097134ff3c332f>
    <TaxCatchAll xmlns="8281beca-add5-41bc-bd52-1eb3d13116f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F5DC6E-6F6E-4794-AF66-1439138481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8f974f-0f9a-46b6-9bcc-f7639e41dd40"/>
    <ds:schemaRef ds:uri="8281beca-add5-41bc-bd52-1eb3d13116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2298B8-175D-4FAD-9029-BCC8F56BFE63}">
  <ds:schemaRefs>
    <ds:schemaRef ds:uri="http://schemas.microsoft.com/office/2006/metadata/properties"/>
    <ds:schemaRef ds:uri="http://schemas.microsoft.com/office/infopath/2007/PartnerControls"/>
    <ds:schemaRef ds:uri="0a8f974f-0f9a-46b6-9bcc-f7639e41dd40"/>
    <ds:schemaRef ds:uri="8281beca-add5-41bc-bd52-1eb3d13116f3"/>
  </ds:schemaRefs>
</ds:datastoreItem>
</file>

<file path=customXml/itemProps3.xml><?xml version="1.0" encoding="utf-8"?>
<ds:datastoreItem xmlns:ds="http://schemas.openxmlformats.org/officeDocument/2006/customXml" ds:itemID="{99C4F480-82EF-41E7-8B67-76B7E81879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 PE</vt:lpstr>
      <vt:lpstr>Cartera_Viva-Otros</vt:lpstr>
      <vt:lpstr>Cartera_Viva-Calls</vt:lpstr>
      <vt:lpstr>Saldos_No_Util</vt:lpstr>
      <vt:lpstr>Diccionario</vt:lpstr>
      <vt:lpstr>rubros_a_considerar</vt:lpstr>
      <vt:lpstr>Cartera Completa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alanf</dc:creator>
  <cp:keywords/>
  <dc:description/>
  <cp:lastModifiedBy>Lucas Fioravanti</cp:lastModifiedBy>
  <cp:revision/>
  <dcterms:created xsi:type="dcterms:W3CDTF">2022-09-02T15:03:46Z</dcterms:created>
  <dcterms:modified xsi:type="dcterms:W3CDTF">2026-05-11T12:47:07Z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2023-06-26T16:20:16Z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168a9a11-d94c-46ec-999f-6971de007446</vt:lpwstr>
  </property>
  <property fmtid="{D5CDD505-2E9C-101B-9397-08002B2CF9AE}" pid="8" name="MSIP_Label_ea60d57e-af5b-4752-ac57-3e4f28ca11dc_ContentBits">
    <vt:lpwstr>0</vt:lpwstr>
  </property>
  <property fmtid="{D5CDD505-2E9C-101B-9397-08002B2CF9AE}" pid="9" name="ContentTypeId">
    <vt:lpwstr>0x010100BF9F4B84DE837C4F871D847953099391</vt:lpwstr>
  </property>
  <property fmtid="{D5CDD505-2E9C-101B-9397-08002B2CF9AE}" pid="10" name="MediaServiceImageTags">
    <vt:lpwstr/>
  </property>
</Properties>
</file>