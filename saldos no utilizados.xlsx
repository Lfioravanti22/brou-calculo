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REDITOS\TARJETAS DE CREDITO\"/>
    </mc:Choice>
  </mc:AlternateContent>
  <bookViews>
    <workbookView xWindow="0" yWindow="0" windowWidth="24000" windowHeight="9630"/>
  </bookViews>
  <sheets>
    <sheet name="Hoja1" sheetId="1" r:id="rId1"/>
  </sheets>
  <definedNames>
    <definedName name="_xlnm.Print_Area" localSheetId="0">Hoja1!$A$1:$C$72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3" i="1" l="1"/>
  <c r="T73" i="1" l="1"/>
  <c r="U73" i="1"/>
  <c r="V73" i="1"/>
  <c r="S73" i="1" l="1"/>
  <c r="R73" i="1"/>
  <c r="Q73" i="1"/>
  <c r="P73" i="1"/>
  <c r="O73" i="1"/>
  <c r="N73" i="1"/>
  <c r="M73" i="1"/>
  <c r="L73" i="1"/>
  <c r="E75" i="1" l="1"/>
  <c r="F73" i="1" l="1"/>
  <c r="G73" i="1"/>
  <c r="H73" i="1"/>
  <c r="I73" i="1"/>
  <c r="J73" i="1"/>
  <c r="K73" i="1"/>
  <c r="D75" i="1" l="1"/>
</calcChain>
</file>

<file path=xl/sharedStrings.xml><?xml version="1.0" encoding="utf-8"?>
<sst xmlns="http://schemas.openxmlformats.org/spreadsheetml/2006/main" count="168" uniqueCount="85">
  <si>
    <t>LISTADO DE SOCIOS POR CUENTA EN ARGENCARD</t>
  </si>
  <si>
    <t>SOCIO</t>
  </si>
  <si>
    <t>NOMBRE</t>
  </si>
  <si>
    <t>NRO. CTA .BANTOT</t>
  </si>
  <si>
    <t>CASTRO ALEJANDRO</t>
  </si>
  <si>
    <t>SANCHEZ EDGAR</t>
  </si>
  <si>
    <t>TURCO MARCELO JAVIER</t>
  </si>
  <si>
    <t>LEMOS RUBEN EDUARDO</t>
  </si>
  <si>
    <t>CONTRERAS FRANCISCO</t>
  </si>
  <si>
    <t>ALFARO RONDAN LILIAN</t>
  </si>
  <si>
    <t>GIMENEZ JORGE ARIEL</t>
  </si>
  <si>
    <t>GUTIERREZ DAVID ANGEL</t>
  </si>
  <si>
    <t>DEREVNIN ALEJANDRO</t>
  </si>
  <si>
    <t>BAÑO MARIA LUISA</t>
  </si>
  <si>
    <t>URRUTIA CONRADO</t>
  </si>
  <si>
    <t>BAZAN JULIO CESAR</t>
  </si>
  <si>
    <t>CASSARINO ANTONELLA</t>
  </si>
  <si>
    <t>TATTO ALBA MARISA</t>
  </si>
  <si>
    <t>ECHAGUE ALAN FEDERICO</t>
  </si>
  <si>
    <t>ASTOUL ENRIQUE ALEJANDRO</t>
  </si>
  <si>
    <t>MONGRELL ALEJANDRO</t>
  </si>
  <si>
    <t>ALURRALDE JUAN</t>
  </si>
  <si>
    <t>AMARILLO VICTOR JOSE</t>
  </si>
  <si>
    <t>MARTINEZ CARLOS DANIEL</t>
  </si>
  <si>
    <t>ARRUA LISANDRO ARIEL</t>
  </si>
  <si>
    <t>MAZZA ALEJANDRO ROBERTO</t>
  </si>
  <si>
    <t>CARLINI MANSILLA</t>
  </si>
  <si>
    <t>FUSSE JORGE</t>
  </si>
  <si>
    <t>ESPOSITO MIRNA</t>
  </si>
  <si>
    <t>ORONOZ MABEL</t>
  </si>
  <si>
    <t>HERRERA VICTOR</t>
  </si>
  <si>
    <t>MACHAIN DANIEL</t>
  </si>
  <si>
    <t>VALLES LUIS MARIO</t>
  </si>
  <si>
    <t>VALLES JAVIER RAMON</t>
  </si>
  <si>
    <t>VALLES LADYS MYR</t>
  </si>
  <si>
    <t>MERA MARY LOLI</t>
  </si>
  <si>
    <t>FABIANI CARLOS</t>
  </si>
  <si>
    <t>TORRES JORGE</t>
  </si>
  <si>
    <t>LINARI  OSCAR</t>
  </si>
  <si>
    <t>HURTADO RAUL OMAR</t>
  </si>
  <si>
    <t>OTERO EDGAR</t>
  </si>
  <si>
    <t>ALVAREZ JORGE</t>
  </si>
  <si>
    <t>MACHIAROLI FERNAND</t>
  </si>
  <si>
    <t>SILVA SILVIA ROXANA</t>
  </si>
  <si>
    <t>VIDAL BOLLINI ALEJANDRA</t>
  </si>
  <si>
    <t>COTTA  ENRIQUE JORGE</t>
  </si>
  <si>
    <t>VIDAL LUCILA</t>
  </si>
  <si>
    <t>JESELSOHN INES</t>
  </si>
  <si>
    <t>BRUZZONE EDUARDO</t>
  </si>
  <si>
    <t>TORCHIA PABLO</t>
  </si>
  <si>
    <t>ALTAMIRANDA, RODRIGO</t>
  </si>
  <si>
    <t>SILVA ALEX RODRIGO</t>
  </si>
  <si>
    <t>MARRERO FRANCISCO DANIEL</t>
  </si>
  <si>
    <t>AGUERRE IGNACIO</t>
  </si>
  <si>
    <t>RODRIGUEZ CARLOS</t>
  </si>
  <si>
    <t>CATTOLICA MARIA</t>
  </si>
  <si>
    <t>CANEPARO EDUARDO</t>
  </si>
  <si>
    <t>PONS MERCEDES</t>
  </si>
  <si>
    <t>MONZON MATIAS</t>
  </si>
  <si>
    <t>FLORES HUGO</t>
  </si>
  <si>
    <t>YUSTE HERNAN</t>
  </si>
  <si>
    <t>TORRES EDGARDO</t>
  </si>
  <si>
    <t>EMBAJADA URUGUAY</t>
  </si>
  <si>
    <t xml:space="preserve">CULT.LIB.AM.SA </t>
  </si>
  <si>
    <t>CIDEL ORGANICA S.R.L.</t>
  </si>
  <si>
    <t>SOFTUR S.A.</t>
  </si>
  <si>
    <t>LEPRICON DINAMICA</t>
  </si>
  <si>
    <t>CIC P C DEL PLATA</t>
  </si>
  <si>
    <t xml:space="preserve">LIMITE </t>
  </si>
  <si>
    <t>TOTAL</t>
  </si>
  <si>
    <t>CONSUMOS</t>
  </si>
  <si>
    <t>$</t>
  </si>
  <si>
    <t>USD</t>
  </si>
  <si>
    <t>LIMITE FINANCIADO</t>
  </si>
  <si>
    <t>Baja</t>
  </si>
  <si>
    <t>9550,92-</t>
  </si>
  <si>
    <t>72654,63-</t>
  </si>
  <si>
    <t>GONDA JORGE OMAR</t>
  </si>
  <si>
    <t>ROLDAN JUAN CARLOS</t>
  </si>
  <si>
    <t>905,73-</t>
  </si>
  <si>
    <t xml:space="preserve"> 4525,48-</t>
  </si>
  <si>
    <t>KRUSE JANET</t>
  </si>
  <si>
    <t>241235,82-</t>
  </si>
  <si>
    <t>230508,15-</t>
  </si>
  <si>
    <t xml:space="preserve"> 21361,65-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</si>
</sst>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[$-C0A]mmmm\-yy;@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 applyBorder="1" applyAlignment="1"/>
    <xf numFmtId="0" fontId="0" fillId="2" borderId="0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center"/>
    </xf>
    <xf numFmtId="43" fontId="0" fillId="0" borderId="0" xfId="0" applyNumberFormat="1"/>
    <xf numFmtId="43" fontId="1" fillId="0" borderId="5" xfId="0" applyNumberFormat="1" applyFont="1" applyBorder="1" applyAlignment="1">
      <alignment horizontal="center"/>
    </xf>
    <xf numFmtId="0" fontId="0" fillId="0" borderId="7" xfId="0" applyBorder="1"/>
    <xf numFmtId="0" fontId="1" fillId="0" borderId="4" xfId="0" applyFont="1" applyFill="1" applyBorder="1" applyAlignment="1">
      <alignment horizontal="center"/>
    </xf>
    <xf numFmtId="43" fontId="0" fillId="0" borderId="7" xfId="0" applyNumberFormat="1" applyBorder="1"/>
    <xf numFmtId="43" fontId="0" fillId="0" borderId="8" xfId="0" applyNumberFormat="1" applyBorder="1"/>
    <xf numFmtId="43" fontId="0" fillId="0" borderId="4" xfId="0" applyNumberFormat="1" applyBorder="1"/>
    <xf numFmtId="0" fontId="0" fillId="0" borderId="6" xfId="0" applyBorder="1"/>
    <xf numFmtId="0" fontId="0" fillId="0" borderId="0" xfId="0" applyAlignment="1">
      <alignment horizontal="center"/>
    </xf>
    <xf numFmtId="0" fontId="1" fillId="0" borderId="10" xfId="0" applyFont="1" applyFill="1" applyBorder="1" applyAlignment="1">
      <alignment horizontal="center"/>
    </xf>
    <xf numFmtId="43" fontId="1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43" fontId="3" fillId="0" borderId="0" xfId="0" applyNumberFormat="1" applyFont="1"/>
    <xf numFmtId="43" fontId="3" fillId="0" borderId="7" xfId="0" applyNumberFormat="1" applyFont="1" applyBorder="1"/>
    <xf numFmtId="43" fontId="0" fillId="3" borderId="7" xfId="0" applyNumberFormat="1" applyFill="1" applyBorder="1"/>
    <xf numFmtId="43" fontId="0" fillId="2" borderId="7" xfId="0" applyNumberFormat="1" applyFill="1" applyBorder="1"/>
    <xf numFmtId="43" fontId="0" fillId="0" borderId="11" xfId="0" applyNumberFormat="1" applyBorder="1"/>
    <xf numFmtId="43" fontId="0" fillId="0" borderId="7" xfId="0" applyNumberFormat="1" applyFill="1" applyBorder="1"/>
    <xf numFmtId="43" fontId="0" fillId="0" borderId="7" xfId="0" applyNumberFormat="1" applyFont="1" applyBorder="1"/>
    <xf numFmtId="43" fontId="3" fillId="3" borderId="7" xfId="0" applyNumberFormat="1" applyFont="1" applyFill="1" applyBorder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0" borderId="0" xfId="0" applyFont="1" applyFill="1" applyAlignment="1">
      <alignment horizontal="left"/>
    </xf>
    <xf numFmtId="43" fontId="3" fillId="2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75"/>
  <sheetViews>
    <sheetView tabSelected="1" zoomScaleNormal="100" workbookViewId="0">
      <pane xSplit="5" ySplit="3" topLeftCell="BB4" activePane="bottomRight" state="frozen"/>
      <selection pane="topRight" activeCell="F1" sqref="F1"/>
      <selection pane="bottomLeft" activeCell="A4" sqref="A4"/>
      <selection pane="bottomRight" activeCell="BB72" sqref="BB72"/>
    </sheetView>
  </sheetViews>
  <sheetFormatPr baseColWidth="10" defaultRowHeight="15" x14ac:dyDescent="0.25"/>
  <cols>
    <col min="1" max="1" width="8" bestFit="1" customWidth="1"/>
    <col min="2" max="2" width="31.28515625" bestFit="1" customWidth="1"/>
    <col min="3" max="3" width="24.42578125" customWidth="1"/>
    <col min="4" max="5" width="23" style="15" customWidth="1"/>
    <col min="6" max="6" width="18.85546875" customWidth="1"/>
    <col min="7" max="8" width="18.140625" customWidth="1"/>
    <col min="9" max="9" width="18.42578125" customWidth="1"/>
    <col min="10" max="10" width="17.7109375" customWidth="1"/>
    <col min="11" max="11" width="18" customWidth="1"/>
    <col min="12" max="59" width="17.7109375" customWidth="1"/>
  </cols>
  <sheetData>
    <row r="1" spans="1:59" x14ac:dyDescent="0.25">
      <c r="A1" s="41" t="s">
        <v>0</v>
      </c>
      <c r="B1" s="42"/>
      <c r="C1" s="42"/>
      <c r="F1" s="39" t="s">
        <v>70</v>
      </c>
      <c r="G1" s="39"/>
      <c r="H1" s="39" t="s">
        <v>70</v>
      </c>
      <c r="I1" s="39"/>
      <c r="J1" s="39" t="s">
        <v>70</v>
      </c>
      <c r="K1" s="39"/>
      <c r="L1" s="39" t="s">
        <v>70</v>
      </c>
      <c r="M1" s="39"/>
      <c r="N1" s="39" t="s">
        <v>70</v>
      </c>
      <c r="O1" s="39"/>
      <c r="P1" s="39" t="s">
        <v>70</v>
      </c>
      <c r="Q1" s="39"/>
      <c r="R1" s="39" t="s">
        <v>70</v>
      </c>
      <c r="S1" s="39"/>
      <c r="T1" s="39" t="s">
        <v>70</v>
      </c>
      <c r="U1" s="39"/>
      <c r="V1" s="39" t="s">
        <v>70</v>
      </c>
      <c r="W1" s="39"/>
      <c r="X1" s="39" t="s">
        <v>70</v>
      </c>
      <c r="Y1" s="39"/>
      <c r="Z1" s="39" t="s">
        <v>70</v>
      </c>
      <c r="AA1" s="39"/>
      <c r="AB1" s="39" t="s">
        <v>70</v>
      </c>
      <c r="AC1" s="39"/>
      <c r="AD1" s="39" t="s">
        <v>70</v>
      </c>
      <c r="AE1" s="39"/>
      <c r="AF1" s="39" t="s">
        <v>70</v>
      </c>
      <c r="AG1" s="39"/>
      <c r="AH1" s="39" t="s">
        <v>70</v>
      </c>
      <c r="AI1" s="39"/>
      <c r="AJ1" s="39" t="s">
        <v>70</v>
      </c>
      <c r="AK1" s="39"/>
      <c r="AL1" s="39" t="s">
        <v>70</v>
      </c>
      <c r="AM1" s="39"/>
      <c r="AN1" s="39" t="s">
        <v>70</v>
      </c>
      <c r="AO1" s="39"/>
      <c r="AP1" s="39" t="s">
        <v>70</v>
      </c>
      <c r="AQ1" s="39"/>
      <c r="AR1" s="39" t="s">
        <v>70</v>
      </c>
      <c r="AS1" s="39"/>
      <c r="AT1" s="39" t="s">
        <v>70</v>
      </c>
      <c r="AU1" s="39"/>
      <c r="AV1" s="39" t="s">
        <v>70</v>
      </c>
      <c r="AW1" s="39"/>
      <c r="AX1" s="39" t="s">
        <v>70</v>
      </c>
      <c r="AY1" s="39"/>
      <c r="AZ1" s="39" t="s">
        <v>70</v>
      </c>
      <c r="BA1" s="39"/>
      <c r="BB1" s="39" t="s">
        <v>70</v>
      </c>
      <c r="BC1" s="39"/>
      <c r="BD1" s="39" t="s">
        <v>70</v>
      </c>
      <c r="BE1" s="39"/>
      <c r="BF1" s="39" t="s">
        <v>70</v>
      </c>
      <c r="BG1" s="39"/>
    </row>
    <row r="2" spans="1:59" ht="15.75" thickBot="1" x14ac:dyDescent="0.3">
      <c r="A2" s="1"/>
      <c r="B2" s="2"/>
      <c r="C2" s="2"/>
      <c r="F2" s="40">
        <v>45413</v>
      </c>
      <c r="G2" s="40"/>
      <c r="H2" s="40">
        <v>45444</v>
      </c>
      <c r="I2" s="40"/>
      <c r="J2" s="40">
        <v>45474</v>
      </c>
      <c r="K2" s="40"/>
      <c r="L2" s="40">
        <v>45505</v>
      </c>
      <c r="M2" s="40"/>
      <c r="N2" s="40">
        <v>45536</v>
      </c>
      <c r="O2" s="40"/>
      <c r="P2" s="40">
        <v>45566</v>
      </c>
      <c r="Q2" s="40"/>
      <c r="R2" s="40">
        <v>45597</v>
      </c>
      <c r="S2" s="40"/>
      <c r="T2" s="40">
        <v>45627</v>
      </c>
      <c r="U2" s="40"/>
      <c r="V2" s="40">
        <v>45658</v>
      </c>
      <c r="W2" s="40"/>
      <c r="X2" s="40">
        <v>45689</v>
      </c>
      <c r="Y2" s="40"/>
      <c r="Z2" s="40">
        <v>45717</v>
      </c>
      <c r="AA2" s="40"/>
      <c r="AB2" s="40">
        <v>45748</v>
      </c>
      <c r="AC2" s="40"/>
      <c r="AD2" s="40">
        <v>45778</v>
      </c>
      <c r="AE2" s="40"/>
      <c r="AF2" s="40">
        <v>45809</v>
      </c>
      <c r="AG2" s="40"/>
      <c r="AH2" s="40">
        <v>45839</v>
      </c>
      <c r="AI2" s="40"/>
      <c r="AJ2" s="40">
        <v>45870</v>
      </c>
      <c r="AK2" s="40"/>
      <c r="AL2" s="40">
        <v>45901</v>
      </c>
      <c r="AM2" s="40"/>
      <c r="AN2" s="40">
        <v>45931</v>
      </c>
      <c r="AO2" s="40"/>
      <c r="AP2" s="40">
        <v>45962</v>
      </c>
      <c r="AQ2" s="40"/>
      <c r="AR2" s="40">
        <v>45992</v>
      </c>
      <c r="AS2" s="40"/>
      <c r="AT2" s="40">
        <v>46023</v>
      </c>
      <c r="AU2" s="40"/>
      <c r="AV2" s="40">
        <v>46054</v>
      </c>
      <c r="AW2" s="40"/>
      <c r="AX2" s="40">
        <v>46082</v>
      </c>
      <c r="AY2" s="40"/>
      <c r="AZ2" s="40">
        <v>46113</v>
      </c>
      <c r="BA2" s="40"/>
      <c r="BB2" s="40">
        <v>46143</v>
      </c>
      <c r="BC2" s="40"/>
      <c r="BD2" s="40">
        <v>46174</v>
      </c>
      <c r="BE2" s="40"/>
      <c r="BF2" s="40">
        <v>46204</v>
      </c>
      <c r="BG2" s="40"/>
    </row>
    <row r="3" spans="1:59" ht="15.75" thickBot="1" x14ac:dyDescent="0.3">
      <c r="A3" s="3" t="s">
        <v>1</v>
      </c>
      <c r="B3" s="4" t="s">
        <v>2</v>
      </c>
      <c r="C3" s="5" t="s">
        <v>3</v>
      </c>
      <c r="D3" s="16" t="s">
        <v>68</v>
      </c>
      <c r="E3" s="25" t="s">
        <v>73</v>
      </c>
      <c r="F3" s="24" t="s">
        <v>71</v>
      </c>
      <c r="G3" s="18" t="s">
        <v>72</v>
      </c>
      <c r="H3" s="18" t="s">
        <v>71</v>
      </c>
      <c r="I3" s="18" t="s">
        <v>72</v>
      </c>
      <c r="J3" s="18" t="s">
        <v>71</v>
      </c>
      <c r="K3" s="18" t="s">
        <v>72</v>
      </c>
      <c r="L3" s="18" t="s">
        <v>71</v>
      </c>
      <c r="M3" s="18" t="s">
        <v>72</v>
      </c>
      <c r="N3" s="24" t="s">
        <v>71</v>
      </c>
      <c r="O3" s="18" t="s">
        <v>72</v>
      </c>
      <c r="P3" s="18" t="s">
        <v>71</v>
      </c>
      <c r="Q3" s="18" t="s">
        <v>72</v>
      </c>
      <c r="R3" s="18" t="s">
        <v>71</v>
      </c>
      <c r="S3" s="18" t="s">
        <v>72</v>
      </c>
      <c r="T3" s="18" t="s">
        <v>71</v>
      </c>
      <c r="U3" s="18" t="s">
        <v>72</v>
      </c>
      <c r="V3" s="18" t="s">
        <v>71</v>
      </c>
      <c r="W3" s="18" t="s">
        <v>72</v>
      </c>
      <c r="X3" s="18" t="s">
        <v>71</v>
      </c>
      <c r="Y3" s="18" t="s">
        <v>72</v>
      </c>
      <c r="Z3" s="18" t="s">
        <v>71</v>
      </c>
      <c r="AA3" s="18" t="s">
        <v>72</v>
      </c>
      <c r="AB3" s="18" t="s">
        <v>71</v>
      </c>
      <c r="AC3" s="18" t="s">
        <v>72</v>
      </c>
      <c r="AD3" s="18" t="s">
        <v>71</v>
      </c>
      <c r="AE3" s="18" t="s">
        <v>72</v>
      </c>
      <c r="AF3" s="18" t="s">
        <v>71</v>
      </c>
      <c r="AG3" s="18" t="s">
        <v>72</v>
      </c>
      <c r="AH3" s="18" t="s">
        <v>71</v>
      </c>
      <c r="AI3" s="18" t="s">
        <v>72</v>
      </c>
      <c r="AJ3" s="18" t="s">
        <v>71</v>
      </c>
      <c r="AK3" s="18" t="s">
        <v>72</v>
      </c>
      <c r="AL3" s="18" t="s">
        <v>71</v>
      </c>
      <c r="AM3" s="18" t="s">
        <v>72</v>
      </c>
      <c r="AN3" s="18" t="s">
        <v>71</v>
      </c>
      <c r="AO3" s="18" t="s">
        <v>72</v>
      </c>
      <c r="AP3" s="18" t="s">
        <v>71</v>
      </c>
      <c r="AQ3" s="18" t="s">
        <v>72</v>
      </c>
      <c r="AR3" s="18" t="s">
        <v>71</v>
      </c>
      <c r="AS3" s="18" t="s">
        <v>72</v>
      </c>
      <c r="AT3" s="18" t="s">
        <v>71</v>
      </c>
      <c r="AU3" s="18" t="s">
        <v>72</v>
      </c>
      <c r="AV3" s="18" t="s">
        <v>71</v>
      </c>
      <c r="AW3" s="18" t="s">
        <v>72</v>
      </c>
      <c r="AX3" s="18" t="s">
        <v>71</v>
      </c>
      <c r="AY3" s="18" t="s">
        <v>72</v>
      </c>
      <c r="AZ3" s="18" t="s">
        <v>71</v>
      </c>
      <c r="BA3" s="18" t="s">
        <v>72</v>
      </c>
      <c r="BB3" s="18" t="s">
        <v>71</v>
      </c>
      <c r="BC3" s="18" t="s">
        <v>72</v>
      </c>
      <c r="BD3" s="18" t="s">
        <v>71</v>
      </c>
      <c r="BE3" s="18" t="s">
        <v>72</v>
      </c>
      <c r="BF3" s="18" t="s">
        <v>71</v>
      </c>
      <c r="BG3" s="18" t="s">
        <v>72</v>
      </c>
    </row>
    <row r="4" spans="1:59" x14ac:dyDescent="0.25">
      <c r="A4" s="6"/>
      <c r="B4" s="6"/>
      <c r="C4" s="7"/>
      <c r="F4" s="22"/>
      <c r="G4" s="17"/>
      <c r="H4" s="17"/>
      <c r="I4" s="17"/>
      <c r="J4" s="17"/>
      <c r="K4" s="17"/>
      <c r="L4" s="17"/>
      <c r="M4" s="17"/>
      <c r="N4" s="22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spans="1:59" x14ac:dyDescent="0.25">
      <c r="A5" s="8">
        <v>822</v>
      </c>
      <c r="B5" s="9" t="s">
        <v>5</v>
      </c>
      <c r="C5" s="10">
        <v>59257</v>
      </c>
      <c r="D5" s="15">
        <v>700000</v>
      </c>
      <c r="E5" s="15">
        <v>1400000</v>
      </c>
      <c r="F5" s="19">
        <v>491639.93</v>
      </c>
      <c r="G5" s="19"/>
      <c r="H5" s="19">
        <v>366913.99</v>
      </c>
      <c r="I5" s="19"/>
      <c r="J5" s="19">
        <v>313598.15999999997</v>
      </c>
      <c r="K5" s="19"/>
      <c r="L5" s="19">
        <v>761341.99</v>
      </c>
      <c r="M5" s="19"/>
      <c r="N5" s="19">
        <v>423816.65</v>
      </c>
      <c r="O5" s="19"/>
      <c r="P5" s="19">
        <v>668821.56000000006</v>
      </c>
      <c r="Q5" s="19"/>
      <c r="R5" s="19">
        <v>404599.58</v>
      </c>
      <c r="S5" s="19"/>
      <c r="T5" s="19">
        <v>508866.82</v>
      </c>
      <c r="U5" s="19"/>
      <c r="V5" s="15">
        <v>786663.24</v>
      </c>
      <c r="W5" s="19"/>
      <c r="X5" s="15">
        <v>732960.69</v>
      </c>
      <c r="Y5" s="19">
        <v>37.6</v>
      </c>
      <c r="Z5" s="15">
        <v>881793.37</v>
      </c>
      <c r="AA5" s="19"/>
      <c r="AB5" s="15">
        <v>627534.05000000005</v>
      </c>
      <c r="AC5" s="19">
        <v>22.2</v>
      </c>
      <c r="AD5" s="15">
        <v>718147.29</v>
      </c>
      <c r="AE5" s="19"/>
      <c r="AF5" s="15">
        <v>967115.29</v>
      </c>
      <c r="AG5" s="19"/>
      <c r="AH5" s="15">
        <v>804117.95</v>
      </c>
      <c r="AI5" s="19"/>
      <c r="AJ5" s="15">
        <v>619673.80000000005</v>
      </c>
      <c r="AK5" s="19"/>
      <c r="AL5" s="15">
        <v>866763.68</v>
      </c>
      <c r="AM5" s="19"/>
      <c r="AN5" s="15">
        <v>679228.42</v>
      </c>
      <c r="AO5" s="19"/>
      <c r="AP5" s="15">
        <v>861958.21</v>
      </c>
      <c r="AQ5" s="19"/>
      <c r="AR5" s="15">
        <v>960721.17</v>
      </c>
      <c r="AS5" s="19"/>
      <c r="AT5" s="15">
        <v>1041705.76</v>
      </c>
      <c r="AU5" s="19"/>
      <c r="AV5" s="15">
        <v>1112844.1299999999</v>
      </c>
      <c r="AW5" s="19"/>
      <c r="AX5" s="15">
        <v>620781.91</v>
      </c>
      <c r="AY5" s="19"/>
      <c r="AZ5" s="15">
        <v>688025.3</v>
      </c>
      <c r="BA5" s="19"/>
      <c r="BB5" s="15">
        <v>744519.66</v>
      </c>
      <c r="BC5" s="19"/>
      <c r="BD5" s="15"/>
      <c r="BE5" s="19"/>
      <c r="BF5" s="15"/>
      <c r="BG5" s="19"/>
    </row>
    <row r="6" spans="1:59" x14ac:dyDescent="0.25">
      <c r="A6" s="8">
        <v>824</v>
      </c>
      <c r="B6" s="9" t="s">
        <v>6</v>
      </c>
      <c r="C6" s="10">
        <v>83994</v>
      </c>
      <c r="D6" s="15">
        <v>2000000</v>
      </c>
      <c r="E6" s="15">
        <v>4000000</v>
      </c>
      <c r="F6" s="19">
        <v>318808.25</v>
      </c>
      <c r="G6" s="19">
        <v>22.56</v>
      </c>
      <c r="H6" s="19">
        <v>1119351.28</v>
      </c>
      <c r="I6" s="19">
        <v>1.45</v>
      </c>
      <c r="J6" s="19">
        <v>1138044.02</v>
      </c>
      <c r="K6" s="19">
        <v>2.81</v>
      </c>
      <c r="L6" s="15">
        <v>1893798.7</v>
      </c>
      <c r="M6" s="19">
        <v>21.25</v>
      </c>
      <c r="N6" s="15">
        <v>1387859.43</v>
      </c>
      <c r="O6" s="19">
        <v>1.37</v>
      </c>
      <c r="P6" s="15">
        <v>1935673.34</v>
      </c>
      <c r="Q6" s="19">
        <v>5.1100000000000003</v>
      </c>
      <c r="R6" s="19">
        <v>941382.86</v>
      </c>
      <c r="S6" s="19">
        <v>33.04</v>
      </c>
      <c r="T6" s="15">
        <v>1065126.42</v>
      </c>
      <c r="U6" s="19">
        <v>2.48</v>
      </c>
      <c r="V6" s="19">
        <v>1105037.3999999999</v>
      </c>
      <c r="W6" s="19">
        <v>2.4300000000000002</v>
      </c>
      <c r="X6" s="19">
        <v>1207094.8400000001</v>
      </c>
      <c r="Y6" s="19">
        <v>33.619999999999997</v>
      </c>
      <c r="Z6" s="19">
        <v>1103099.79</v>
      </c>
      <c r="AA6" s="19">
        <v>2.35</v>
      </c>
      <c r="AB6" s="19">
        <v>1091112.02</v>
      </c>
      <c r="AC6" s="19">
        <v>2.33</v>
      </c>
      <c r="AD6" s="19">
        <v>1209614.52</v>
      </c>
      <c r="AE6" s="19">
        <v>2.14</v>
      </c>
      <c r="AF6" s="19">
        <v>1230731.04</v>
      </c>
      <c r="AG6" s="19">
        <v>25.97</v>
      </c>
      <c r="AH6" s="19">
        <v>564065.9</v>
      </c>
      <c r="AI6" s="19">
        <v>11.96</v>
      </c>
      <c r="AJ6" s="19">
        <v>1756349.14</v>
      </c>
      <c r="AK6" s="19">
        <v>9.11</v>
      </c>
      <c r="AL6" s="19">
        <v>1651404.9</v>
      </c>
      <c r="AM6" s="19">
        <v>4.3</v>
      </c>
      <c r="AN6" s="19">
        <v>1696923.17</v>
      </c>
      <c r="AO6" s="19"/>
      <c r="AP6" s="19">
        <v>1446100.28</v>
      </c>
      <c r="AQ6" s="19">
        <v>2.2999999999999998</v>
      </c>
      <c r="AR6" s="19">
        <v>1248377.83</v>
      </c>
      <c r="AS6" s="19">
        <v>14.94</v>
      </c>
      <c r="AT6" s="19">
        <v>-1859.05</v>
      </c>
      <c r="AU6" s="19"/>
      <c r="AV6" s="19">
        <v>1559008.44</v>
      </c>
      <c r="AW6" s="19">
        <v>13.03</v>
      </c>
      <c r="AX6" s="19">
        <v>1549130.19</v>
      </c>
      <c r="AY6" s="19">
        <v>2.34</v>
      </c>
      <c r="AZ6" s="19">
        <v>1559958.99</v>
      </c>
      <c r="BA6" s="19">
        <v>13.29</v>
      </c>
      <c r="BB6" s="19">
        <v>1506896.27</v>
      </c>
      <c r="BC6" s="19">
        <v>13.21</v>
      </c>
      <c r="BD6" s="19"/>
      <c r="BE6" s="19"/>
      <c r="BF6" s="19"/>
      <c r="BG6" s="19"/>
    </row>
    <row r="7" spans="1:59" x14ac:dyDescent="0.25">
      <c r="A7" s="8">
        <v>825</v>
      </c>
      <c r="B7" s="9" t="s">
        <v>7</v>
      </c>
      <c r="C7" s="10">
        <v>53465</v>
      </c>
      <c r="D7" s="15">
        <v>90000</v>
      </c>
      <c r="E7" s="15">
        <v>180000</v>
      </c>
      <c r="F7" s="19">
        <v>7738.05</v>
      </c>
      <c r="G7" s="19"/>
      <c r="H7" s="19">
        <v>8986.81</v>
      </c>
      <c r="I7" s="19"/>
      <c r="J7" s="19">
        <v>9646.59</v>
      </c>
      <c r="K7" s="19"/>
      <c r="L7" s="19">
        <v>46817.34</v>
      </c>
      <c r="N7" s="19">
        <v>10440.24</v>
      </c>
      <c r="O7" s="19"/>
      <c r="P7" s="19">
        <v>11328.62</v>
      </c>
      <c r="Q7" s="19"/>
      <c r="R7" s="19">
        <v>11627.43</v>
      </c>
      <c r="S7" s="33"/>
      <c r="T7" s="19">
        <v>11968</v>
      </c>
      <c r="V7" s="19">
        <v>11841.89</v>
      </c>
      <c r="W7" s="19"/>
      <c r="X7" s="19">
        <v>12157.98</v>
      </c>
      <c r="Y7" s="19"/>
      <c r="Z7" s="19">
        <v>12713.88</v>
      </c>
      <c r="AA7" s="19"/>
      <c r="AB7" s="19">
        <v>12690.54</v>
      </c>
      <c r="AC7" s="19"/>
      <c r="AD7" s="19">
        <v>12409.2</v>
      </c>
      <c r="AE7" s="19"/>
      <c r="AF7" s="19">
        <v>-456.49</v>
      </c>
      <c r="AG7" s="19"/>
      <c r="AH7" s="19">
        <v>-322.18</v>
      </c>
      <c r="AI7" s="19"/>
      <c r="AJ7" s="19">
        <v>-187.87</v>
      </c>
      <c r="AK7" s="19"/>
      <c r="AL7" s="19">
        <v>-53.56</v>
      </c>
      <c r="AM7" s="19"/>
      <c r="AN7" s="19">
        <v>443.75</v>
      </c>
      <c r="AO7" s="19"/>
      <c r="AP7" s="19">
        <v>497.31</v>
      </c>
      <c r="AQ7" s="19"/>
      <c r="AR7" s="19">
        <v>497.31</v>
      </c>
      <c r="AS7" s="19"/>
      <c r="AT7" s="19">
        <v>137.03</v>
      </c>
      <c r="AU7" s="19"/>
      <c r="AV7" s="19">
        <v>134.31</v>
      </c>
      <c r="AW7" s="19"/>
      <c r="AX7" s="19">
        <v>134.31</v>
      </c>
      <c r="AY7" s="19"/>
      <c r="AZ7" s="19">
        <v>134.31</v>
      </c>
      <c r="BA7" s="19"/>
      <c r="BB7" s="19">
        <v>134.31</v>
      </c>
      <c r="BC7" s="19"/>
      <c r="BD7" s="19"/>
      <c r="BE7" s="19"/>
      <c r="BF7" s="19"/>
      <c r="BG7" s="19"/>
    </row>
    <row r="8" spans="1:59" x14ac:dyDescent="0.25">
      <c r="A8" s="8">
        <v>827</v>
      </c>
      <c r="B8" s="9" t="s">
        <v>8</v>
      </c>
      <c r="C8" s="10">
        <v>58922</v>
      </c>
      <c r="D8" s="15">
        <v>800000</v>
      </c>
      <c r="E8" s="15">
        <v>1600000</v>
      </c>
      <c r="F8" s="19">
        <v>663499.42000000004</v>
      </c>
      <c r="G8" s="19">
        <v>1.46</v>
      </c>
      <c r="H8" s="19">
        <v>429955.66</v>
      </c>
      <c r="I8" s="19">
        <v>1.43</v>
      </c>
      <c r="J8" s="19">
        <v>802937.95</v>
      </c>
      <c r="K8" s="19">
        <v>1.4</v>
      </c>
      <c r="L8" s="19">
        <v>480184.2</v>
      </c>
      <c r="M8" s="15">
        <v>1.37</v>
      </c>
      <c r="N8" s="19">
        <v>749500.37</v>
      </c>
      <c r="O8" s="15">
        <v>2.59</v>
      </c>
      <c r="P8" s="19">
        <v>853008.2</v>
      </c>
      <c r="Q8" s="19">
        <v>2.54</v>
      </c>
      <c r="R8" s="19">
        <v>514424.4</v>
      </c>
      <c r="S8" s="19">
        <v>2.4900000000000002</v>
      </c>
      <c r="T8" s="19">
        <v>1012716.89</v>
      </c>
      <c r="U8" s="19">
        <v>2.44</v>
      </c>
      <c r="V8" s="19">
        <v>836423.53</v>
      </c>
      <c r="W8" s="19">
        <v>3.16</v>
      </c>
      <c r="X8" s="19">
        <v>616978.38</v>
      </c>
      <c r="Y8" s="19">
        <v>3.12</v>
      </c>
      <c r="Z8" s="19">
        <v>1014480.68</v>
      </c>
      <c r="AA8" s="19"/>
      <c r="AB8" s="19">
        <v>704119.47</v>
      </c>
      <c r="AC8" s="19">
        <v>5.97</v>
      </c>
      <c r="AD8" s="19">
        <v>1014627.44</v>
      </c>
      <c r="AE8" s="19">
        <v>2.9</v>
      </c>
      <c r="AF8" s="19">
        <v>1159119.77</v>
      </c>
      <c r="AG8" s="19">
        <v>2.83</v>
      </c>
      <c r="AH8" s="19"/>
      <c r="AI8" s="19"/>
      <c r="AJ8" s="19">
        <v>956582.87</v>
      </c>
      <c r="AK8" s="19"/>
      <c r="AL8" s="19">
        <v>-373799.49</v>
      </c>
      <c r="AM8" s="19"/>
      <c r="AN8" s="19">
        <v>-306690.63</v>
      </c>
      <c r="AO8" s="19"/>
      <c r="AP8" s="19">
        <v>-223763.45</v>
      </c>
      <c r="AQ8" s="19"/>
      <c r="AR8" s="19">
        <v>508735.57</v>
      </c>
      <c r="AS8" s="19"/>
      <c r="AT8" s="19">
        <v>443700.83</v>
      </c>
      <c r="AU8" s="19"/>
      <c r="AV8" s="19">
        <v>381718.62</v>
      </c>
      <c r="AW8" s="19"/>
      <c r="AX8" s="19">
        <v>530324.59</v>
      </c>
      <c r="AY8" s="19"/>
      <c r="AZ8" s="19">
        <v>842958.19</v>
      </c>
      <c r="BA8" s="19"/>
      <c r="BB8" s="19">
        <v>303949.34999999998</v>
      </c>
      <c r="BC8" s="19"/>
      <c r="BD8" s="19"/>
      <c r="BE8" s="19"/>
      <c r="BF8" s="19"/>
      <c r="BG8" s="19"/>
    </row>
    <row r="9" spans="1:59" x14ac:dyDescent="0.25">
      <c r="A9" s="8">
        <v>828</v>
      </c>
      <c r="B9" s="9" t="s">
        <v>9</v>
      </c>
      <c r="C9" s="10">
        <v>83020</v>
      </c>
      <c r="D9" s="15">
        <v>3000000</v>
      </c>
      <c r="E9" s="15">
        <v>9000000</v>
      </c>
      <c r="F9" s="19">
        <v>33551.879999999997</v>
      </c>
      <c r="G9" s="19"/>
      <c r="H9" s="19">
        <v>35188.050000000003</v>
      </c>
      <c r="I9" s="19"/>
      <c r="J9" s="19">
        <v>36496.720000000001</v>
      </c>
      <c r="K9" s="19"/>
      <c r="L9" s="19">
        <v>36442.54</v>
      </c>
      <c r="M9" s="15"/>
      <c r="N9" s="19">
        <v>38844.89</v>
      </c>
      <c r="O9" s="19"/>
      <c r="P9" s="19">
        <v>39912.67</v>
      </c>
      <c r="Q9" s="19"/>
      <c r="R9" s="19">
        <v>41807.46</v>
      </c>
      <c r="S9" s="19"/>
      <c r="T9" s="19">
        <v>42507.839999999997</v>
      </c>
      <c r="U9" s="17"/>
      <c r="V9" s="19">
        <v>43826.63</v>
      </c>
      <c r="W9" s="19"/>
      <c r="X9" s="19">
        <v>45554.38</v>
      </c>
      <c r="Y9" s="19"/>
      <c r="Z9" s="19">
        <v>45672.83</v>
      </c>
      <c r="AA9" s="19"/>
      <c r="AB9" s="19">
        <v>47653.48</v>
      </c>
      <c r="AC9" s="19"/>
      <c r="AD9" s="19">
        <v>41441.29</v>
      </c>
      <c r="AE9" s="19"/>
      <c r="AF9" s="19">
        <v>43490.91</v>
      </c>
      <c r="AG9" s="19"/>
      <c r="AH9" s="19">
        <v>44683.28</v>
      </c>
      <c r="AI9" s="19"/>
      <c r="AJ9" s="19">
        <v>45777.94</v>
      </c>
      <c r="AK9" s="19"/>
      <c r="AL9" s="19">
        <v>46340.3</v>
      </c>
      <c r="AM9" s="19"/>
      <c r="AN9" s="19">
        <v>46114.83</v>
      </c>
      <c r="AO9" s="19"/>
      <c r="AP9" s="19">
        <v>47525.09</v>
      </c>
      <c r="AQ9" s="19"/>
      <c r="AR9" s="19">
        <v>691387.83</v>
      </c>
      <c r="AS9" s="19"/>
      <c r="AT9" s="19">
        <v>1763435.3</v>
      </c>
      <c r="AU9" s="19"/>
      <c r="AV9" s="19">
        <v>469037.16</v>
      </c>
      <c r="AW9" s="19"/>
      <c r="AX9" s="19">
        <v>1036945.01</v>
      </c>
      <c r="AY9" s="19"/>
      <c r="AZ9" s="19">
        <v>1236232.43</v>
      </c>
      <c r="BA9" s="19"/>
      <c r="BB9" s="19">
        <v>1764574.39</v>
      </c>
      <c r="BC9" s="19"/>
      <c r="BD9" s="19"/>
      <c r="BE9" s="19"/>
      <c r="BF9" s="19"/>
      <c r="BG9" s="19"/>
    </row>
    <row r="10" spans="1:59" x14ac:dyDescent="0.25">
      <c r="A10" s="8">
        <v>829</v>
      </c>
      <c r="B10" s="9" t="s">
        <v>10</v>
      </c>
      <c r="C10" s="10">
        <v>84164</v>
      </c>
      <c r="D10" s="15">
        <v>1500000</v>
      </c>
      <c r="E10" s="15">
        <v>3000000</v>
      </c>
      <c r="F10" s="19">
        <v>26404.44</v>
      </c>
      <c r="G10" s="19"/>
      <c r="H10" s="19">
        <v>29849.31</v>
      </c>
      <c r="I10" s="19"/>
      <c r="J10" s="19">
        <v>26384.31</v>
      </c>
      <c r="K10" s="19"/>
      <c r="L10" s="19">
        <v>33493.39</v>
      </c>
      <c r="M10" s="19"/>
      <c r="N10" s="19">
        <v>134.31</v>
      </c>
      <c r="O10" s="19"/>
      <c r="P10" s="19">
        <v>134.31</v>
      </c>
      <c r="Q10" s="19"/>
      <c r="R10" s="19">
        <v>11534.31</v>
      </c>
      <c r="S10" s="19"/>
      <c r="T10" s="34">
        <v>134.31</v>
      </c>
      <c r="U10" s="19"/>
      <c r="V10" s="15">
        <v>90986.31</v>
      </c>
      <c r="W10" s="19"/>
      <c r="X10" s="15">
        <v>37537.31</v>
      </c>
      <c r="Y10" s="19"/>
      <c r="Z10" s="15">
        <v>70285.710000000006</v>
      </c>
      <c r="AA10" s="19"/>
      <c r="AB10" s="15">
        <v>39922.639999999999</v>
      </c>
      <c r="AC10" s="19"/>
      <c r="AD10" s="15">
        <v>39922.639999999999</v>
      </c>
      <c r="AE10" s="19"/>
      <c r="AF10" s="15">
        <v>122834.78</v>
      </c>
      <c r="AG10" s="19"/>
      <c r="AH10" s="15">
        <v>60134.27</v>
      </c>
      <c r="AI10" s="19"/>
      <c r="AJ10" s="15">
        <v>96544.53</v>
      </c>
      <c r="AK10" s="19"/>
      <c r="AL10" s="15">
        <v>-96410.22</v>
      </c>
      <c r="AM10" s="19"/>
      <c r="AN10" s="15">
        <v>65934.2</v>
      </c>
      <c r="AO10" s="19"/>
      <c r="AP10" s="15">
        <v>134.31</v>
      </c>
      <c r="AQ10" s="19"/>
      <c r="AR10" s="15">
        <v>21883.21</v>
      </c>
      <c r="AS10" s="19">
        <v>64.989999999999995</v>
      </c>
      <c r="AT10" s="15">
        <v>24612.17</v>
      </c>
      <c r="AU10" s="19"/>
      <c r="AV10" s="15">
        <v>497.31</v>
      </c>
      <c r="AW10" s="19"/>
      <c r="AX10" s="15">
        <v>40497.269999999997</v>
      </c>
      <c r="AY10" s="19"/>
      <c r="AZ10" s="15">
        <v>85134.34</v>
      </c>
      <c r="BA10" s="19"/>
      <c r="BB10" s="15">
        <v>100820.65</v>
      </c>
      <c r="BC10" s="19"/>
      <c r="BD10" s="15"/>
      <c r="BE10" s="19"/>
      <c r="BF10" s="15"/>
      <c r="BG10" s="19"/>
    </row>
    <row r="11" spans="1:59" x14ac:dyDescent="0.25">
      <c r="A11" s="8">
        <v>832</v>
      </c>
      <c r="B11" s="9" t="s">
        <v>11</v>
      </c>
      <c r="C11" s="10">
        <v>84446</v>
      </c>
      <c r="D11" s="15">
        <v>2500000</v>
      </c>
      <c r="E11" s="15">
        <v>5000000</v>
      </c>
      <c r="F11" s="19">
        <v>403021.19</v>
      </c>
      <c r="G11" s="19"/>
      <c r="H11" s="19">
        <v>607880.9</v>
      </c>
      <c r="I11" s="19"/>
      <c r="J11" s="19">
        <v>772865.15</v>
      </c>
      <c r="K11" s="19"/>
      <c r="L11" s="19">
        <v>465826.59</v>
      </c>
      <c r="M11" s="19"/>
      <c r="N11" s="19">
        <v>644490.84</v>
      </c>
      <c r="O11" s="19"/>
      <c r="P11" s="19">
        <v>1008351.35</v>
      </c>
      <c r="Q11" s="19"/>
      <c r="R11" s="19">
        <v>1408522.94</v>
      </c>
      <c r="S11" s="19">
        <v>4.2300000000000004</v>
      </c>
      <c r="T11" s="19">
        <v>1272905.6000000001</v>
      </c>
      <c r="U11" s="19">
        <v>4.1500000000000004</v>
      </c>
      <c r="V11" s="19">
        <v>1226238.32</v>
      </c>
      <c r="W11" s="19">
        <v>4.07</v>
      </c>
      <c r="X11" s="19">
        <v>1332120.6200000001</v>
      </c>
      <c r="Y11" s="19">
        <v>3.99</v>
      </c>
      <c r="Z11" s="19">
        <v>1506877.75</v>
      </c>
      <c r="AA11" s="19">
        <v>3.95</v>
      </c>
      <c r="AB11" s="19">
        <v>849062.56</v>
      </c>
      <c r="AC11" s="19">
        <v>633.73</v>
      </c>
      <c r="AD11" s="19">
        <v>582938.01</v>
      </c>
      <c r="AE11" s="19">
        <v>3.58</v>
      </c>
      <c r="AF11" s="19">
        <v>619788.84</v>
      </c>
      <c r="AG11" s="19"/>
      <c r="AH11" s="19">
        <v>1193327.31</v>
      </c>
      <c r="AI11" s="19"/>
      <c r="AJ11" s="19">
        <v>640773.05000000005</v>
      </c>
      <c r="AK11" s="19"/>
      <c r="AL11" s="19">
        <v>1069707.6499999999</v>
      </c>
      <c r="AM11" s="19"/>
      <c r="AN11" s="19">
        <v>763390.39</v>
      </c>
      <c r="AO11" s="19"/>
      <c r="AP11" s="19">
        <v>1096189.19</v>
      </c>
      <c r="AQ11" s="19"/>
      <c r="AR11" s="19">
        <v>1321143.2</v>
      </c>
      <c r="AS11" s="19">
        <v>1423.01</v>
      </c>
      <c r="AT11" s="19">
        <v>1057368.08</v>
      </c>
      <c r="AU11" s="19">
        <v>63.38</v>
      </c>
      <c r="AV11" s="19">
        <v>1752773.04</v>
      </c>
      <c r="AW11" s="19"/>
      <c r="AX11" s="19">
        <v>879095.96</v>
      </c>
      <c r="AY11" s="19"/>
      <c r="AZ11" s="19">
        <v>969929.48</v>
      </c>
      <c r="BA11" s="19"/>
      <c r="BB11" s="19">
        <v>1147330.01</v>
      </c>
      <c r="BC11" s="19"/>
      <c r="BD11" s="19"/>
      <c r="BE11" s="19"/>
      <c r="BF11" s="19"/>
      <c r="BG11" s="19"/>
    </row>
    <row r="12" spans="1:59" x14ac:dyDescent="0.25">
      <c r="A12" s="8">
        <v>835</v>
      </c>
      <c r="B12" s="9" t="s">
        <v>12</v>
      </c>
      <c r="C12" s="10">
        <v>85001</v>
      </c>
      <c r="D12" s="15">
        <v>19000</v>
      </c>
      <c r="E12" s="15">
        <v>38000</v>
      </c>
      <c r="F12" s="19">
        <v>134.31</v>
      </c>
      <c r="G12" s="19"/>
      <c r="H12" s="19">
        <v>134.31</v>
      </c>
      <c r="I12" s="19"/>
      <c r="J12" s="19">
        <v>134.31</v>
      </c>
      <c r="K12" s="19"/>
      <c r="L12" s="19">
        <v>134.31</v>
      </c>
      <c r="M12" s="19"/>
      <c r="N12" s="19">
        <v>497.31</v>
      </c>
      <c r="O12" s="19"/>
      <c r="P12" s="19">
        <v>497.31</v>
      </c>
      <c r="Q12" s="19"/>
      <c r="R12" s="19">
        <v>497.31</v>
      </c>
      <c r="S12" s="19"/>
      <c r="T12" s="34">
        <v>134.31</v>
      </c>
      <c r="U12" s="19"/>
      <c r="V12" s="34">
        <v>134.31</v>
      </c>
      <c r="W12" s="19"/>
      <c r="X12" s="34">
        <v>134.31</v>
      </c>
      <c r="Y12" s="19"/>
      <c r="Z12" s="34">
        <v>134.31</v>
      </c>
      <c r="AA12" s="19"/>
      <c r="AB12" s="34">
        <v>134.31</v>
      </c>
      <c r="AC12" s="19"/>
      <c r="AD12" s="34">
        <v>134.31</v>
      </c>
      <c r="AE12" s="19"/>
      <c r="AF12" s="34">
        <v>134.31</v>
      </c>
      <c r="AG12" s="19"/>
      <c r="AH12" s="34">
        <v>134.31</v>
      </c>
      <c r="AI12" s="19"/>
      <c r="AJ12" s="34">
        <v>134.31</v>
      </c>
      <c r="AK12" s="19"/>
      <c r="AL12" s="34">
        <v>497.31</v>
      </c>
      <c r="AM12" s="19"/>
      <c r="AN12" s="34">
        <v>497.31</v>
      </c>
      <c r="AO12" s="19"/>
      <c r="AP12" s="34">
        <v>497.31</v>
      </c>
      <c r="AQ12" s="19"/>
      <c r="AR12" s="34">
        <v>134.31</v>
      </c>
      <c r="AS12" s="19"/>
      <c r="AT12" s="34">
        <v>134.31</v>
      </c>
      <c r="AU12" s="19"/>
      <c r="AV12" s="34">
        <v>134.31</v>
      </c>
      <c r="AW12" s="19"/>
      <c r="AX12" s="34">
        <v>134.31</v>
      </c>
      <c r="AY12" s="19"/>
      <c r="AZ12" s="34">
        <v>134.31</v>
      </c>
      <c r="BA12" s="19"/>
      <c r="BB12" s="34">
        <v>134.31</v>
      </c>
      <c r="BC12" s="19"/>
      <c r="BD12" s="34"/>
      <c r="BE12" s="19"/>
      <c r="BF12" s="34"/>
      <c r="BG12" s="19"/>
    </row>
    <row r="13" spans="1:59" x14ac:dyDescent="0.25">
      <c r="A13" s="8">
        <v>855</v>
      </c>
      <c r="B13" s="9" t="s">
        <v>13</v>
      </c>
      <c r="C13" s="10">
        <v>85391</v>
      </c>
      <c r="D13" s="15">
        <v>1200000</v>
      </c>
      <c r="E13" s="15">
        <v>2400000</v>
      </c>
      <c r="F13" s="19">
        <v>852884.29</v>
      </c>
      <c r="G13" s="19"/>
      <c r="H13" s="19">
        <v>785755.34</v>
      </c>
      <c r="I13" s="19"/>
      <c r="J13" s="19">
        <v>697693.05</v>
      </c>
      <c r="K13" s="19"/>
      <c r="L13" s="19">
        <v>643118.62</v>
      </c>
      <c r="M13" s="19"/>
      <c r="N13" s="19">
        <v>601617</v>
      </c>
      <c r="O13" s="19"/>
      <c r="P13" s="19">
        <v>835069.07</v>
      </c>
      <c r="Q13" s="19"/>
      <c r="R13" s="19">
        <v>904704.35</v>
      </c>
      <c r="S13" s="19"/>
      <c r="T13" s="19">
        <v>666432.26</v>
      </c>
      <c r="U13" s="19"/>
      <c r="V13" s="19">
        <v>577002.23999999999</v>
      </c>
      <c r="W13" s="19"/>
      <c r="X13" s="19">
        <v>631313.67000000004</v>
      </c>
      <c r="Y13" s="19"/>
      <c r="Z13" s="19">
        <v>307709.93</v>
      </c>
      <c r="AA13" s="19"/>
      <c r="AB13" s="19">
        <v>283692.33</v>
      </c>
      <c r="AC13" s="19"/>
      <c r="AD13" s="19">
        <v>245574.49</v>
      </c>
      <c r="AE13" s="19"/>
      <c r="AF13" s="19">
        <v>220979.31</v>
      </c>
      <c r="AG13" s="19"/>
      <c r="AH13" s="19">
        <v>378696.18</v>
      </c>
      <c r="AI13" s="19"/>
      <c r="AJ13" s="19">
        <v>1352757.19</v>
      </c>
      <c r="AK13" s="19"/>
      <c r="AL13" s="19">
        <v>1089174.05</v>
      </c>
      <c r="AM13" s="19"/>
      <c r="AN13" s="19">
        <v>488468.04</v>
      </c>
      <c r="AO13" s="19"/>
      <c r="AP13" s="19">
        <v>459888.33</v>
      </c>
      <c r="AQ13" s="19"/>
      <c r="AR13" s="19">
        <v>435649.76</v>
      </c>
      <c r="AS13" s="19"/>
      <c r="AT13" s="19">
        <v>554557.22</v>
      </c>
      <c r="AU13" s="19"/>
      <c r="AV13" s="19">
        <v>601869.68000000005</v>
      </c>
      <c r="AW13" s="19"/>
      <c r="AX13" s="19">
        <v>799093.12</v>
      </c>
      <c r="AY13" s="19"/>
      <c r="AZ13" s="19">
        <v>1277996.3700000001</v>
      </c>
      <c r="BA13" s="19"/>
      <c r="BB13" s="19">
        <v>788810.18</v>
      </c>
      <c r="BC13" s="19"/>
      <c r="BD13" s="19"/>
      <c r="BE13" s="19"/>
      <c r="BF13" s="19"/>
      <c r="BG13" s="19"/>
    </row>
    <row r="14" spans="1:59" x14ac:dyDescent="0.25">
      <c r="A14" s="8">
        <v>856</v>
      </c>
      <c r="B14" s="9" t="s">
        <v>14</v>
      </c>
      <c r="C14" s="10">
        <v>53660</v>
      </c>
      <c r="D14" s="15">
        <v>600000</v>
      </c>
      <c r="E14" s="15">
        <v>1200000</v>
      </c>
      <c r="F14" s="19">
        <v>867735.71</v>
      </c>
      <c r="G14" s="19"/>
      <c r="H14" s="19">
        <v>593554.85</v>
      </c>
      <c r="I14" s="19"/>
      <c r="J14" s="19">
        <v>656513.98</v>
      </c>
      <c r="K14" s="19">
        <v>53.94</v>
      </c>
      <c r="L14" s="19">
        <v>651353.84</v>
      </c>
      <c r="M14" s="19"/>
      <c r="N14" s="19">
        <v>723899.53</v>
      </c>
      <c r="O14" s="19"/>
      <c r="P14" s="19">
        <v>690212.08</v>
      </c>
      <c r="Q14" s="19"/>
      <c r="R14" s="19">
        <v>674974.47</v>
      </c>
      <c r="S14" s="19"/>
      <c r="T14" s="15">
        <v>817739.35</v>
      </c>
      <c r="U14" s="19"/>
      <c r="V14" s="19">
        <v>739792.56</v>
      </c>
      <c r="W14" s="19">
        <v>1.99</v>
      </c>
      <c r="X14" s="19">
        <v>677300.71</v>
      </c>
      <c r="Y14" s="19">
        <v>119.14</v>
      </c>
      <c r="Z14" s="19">
        <v>861718.01</v>
      </c>
      <c r="AA14" s="19">
        <v>1.99</v>
      </c>
      <c r="AB14" s="19">
        <v>762812.46</v>
      </c>
      <c r="AC14" s="19">
        <v>14.59</v>
      </c>
      <c r="AD14" s="19">
        <v>765504.18</v>
      </c>
      <c r="AE14" s="19">
        <v>1.99</v>
      </c>
      <c r="AF14" s="19">
        <v>739765.46</v>
      </c>
      <c r="AG14" s="19">
        <v>1.99</v>
      </c>
      <c r="AH14" s="19">
        <v>768984.03</v>
      </c>
      <c r="AI14" s="19"/>
      <c r="AJ14" s="19">
        <v>678437.51</v>
      </c>
      <c r="AK14" s="19"/>
      <c r="AL14" s="19">
        <v>625266.74</v>
      </c>
      <c r="AM14" s="19"/>
      <c r="AN14" s="19">
        <v>819530.59</v>
      </c>
      <c r="AO14" s="19"/>
      <c r="AP14" s="19">
        <v>731517.73</v>
      </c>
      <c r="AQ14" s="19"/>
      <c r="AR14" s="19">
        <v>860342.02</v>
      </c>
      <c r="AS14" s="19">
        <v>1.99</v>
      </c>
      <c r="AT14" s="19">
        <v>1119624.1000000001</v>
      </c>
      <c r="AU14" s="19">
        <v>15.98</v>
      </c>
      <c r="AV14" s="19">
        <v>582363.72</v>
      </c>
      <c r="AW14" s="19"/>
      <c r="AX14" s="19">
        <v>920851.27</v>
      </c>
      <c r="AY14" s="19">
        <v>14.22</v>
      </c>
      <c r="AZ14" s="19">
        <v>912477.01</v>
      </c>
      <c r="BA14" s="19"/>
      <c r="BB14" s="19">
        <v>831233.74</v>
      </c>
      <c r="BC14" s="19"/>
      <c r="BD14" s="19"/>
      <c r="BE14" s="19"/>
      <c r="BF14" s="19"/>
      <c r="BG14" s="19"/>
    </row>
    <row r="15" spans="1:59" x14ac:dyDescent="0.25">
      <c r="A15" s="8">
        <v>861</v>
      </c>
      <c r="B15" s="9" t="s">
        <v>15</v>
      </c>
      <c r="C15" s="10">
        <v>54512</v>
      </c>
      <c r="D15" s="15">
        <v>1000000</v>
      </c>
      <c r="E15" s="15">
        <v>2000000</v>
      </c>
      <c r="F15" s="19">
        <v>497.89</v>
      </c>
      <c r="G15" s="19"/>
      <c r="H15" s="19">
        <v>495.2</v>
      </c>
      <c r="I15" s="19"/>
      <c r="J15" s="19">
        <v>492.51</v>
      </c>
      <c r="K15" s="19"/>
      <c r="L15" s="19">
        <v>133.55000000000001</v>
      </c>
      <c r="M15" s="19"/>
      <c r="N15" s="19">
        <v>280.55</v>
      </c>
      <c r="O15" s="19"/>
      <c r="P15" s="19">
        <v>147.1</v>
      </c>
      <c r="Q15" s="19"/>
      <c r="R15" s="19">
        <v>131.41</v>
      </c>
      <c r="S15" s="19"/>
      <c r="T15" s="19">
        <v>134.31</v>
      </c>
      <c r="U15" s="19"/>
      <c r="V15" s="19">
        <v>135.01</v>
      </c>
      <c r="W15" s="19"/>
      <c r="X15" s="19">
        <v>72.989999999999995</v>
      </c>
      <c r="Y15" s="19"/>
      <c r="Z15" s="19">
        <v>213.74</v>
      </c>
      <c r="AA15" s="19"/>
      <c r="AB15" s="19">
        <v>38.93</v>
      </c>
      <c r="AC15" s="19"/>
      <c r="AD15" s="19">
        <v>539.5</v>
      </c>
      <c r="AE15" s="19"/>
      <c r="AF15" s="19">
        <v>497.31</v>
      </c>
      <c r="AG15" s="19"/>
      <c r="AH15" s="19">
        <v>-1.95</v>
      </c>
      <c r="AI15" s="19"/>
      <c r="AJ15" s="19">
        <v>132.36000000000001</v>
      </c>
      <c r="AK15" s="19"/>
      <c r="AL15" s="19">
        <v>-15.69</v>
      </c>
      <c r="AM15" s="19"/>
      <c r="AN15" s="19">
        <v>118.62</v>
      </c>
      <c r="AO15" s="19"/>
      <c r="AP15" s="19">
        <v>134.31</v>
      </c>
      <c r="AQ15" s="19"/>
      <c r="AR15" s="19">
        <v>56867.65</v>
      </c>
      <c r="AS15" s="19"/>
      <c r="AT15" s="19">
        <v>14335.29</v>
      </c>
      <c r="AU15" s="19"/>
      <c r="AV15" s="19">
        <v>14565.26</v>
      </c>
      <c r="AW15" s="19"/>
      <c r="AX15" s="19">
        <v>134.31</v>
      </c>
      <c r="AY15" s="19"/>
      <c r="AZ15" s="19">
        <v>134.31</v>
      </c>
      <c r="BA15" s="19"/>
      <c r="BB15" s="19">
        <v>497.31</v>
      </c>
      <c r="BC15" s="19"/>
      <c r="BD15" s="19"/>
      <c r="BE15" s="19"/>
      <c r="BF15" s="19"/>
      <c r="BG15" s="19"/>
    </row>
    <row r="16" spans="1:59" x14ac:dyDescent="0.25">
      <c r="A16" s="8">
        <v>865</v>
      </c>
      <c r="B16" s="9" t="s">
        <v>16</v>
      </c>
      <c r="C16" s="10">
        <v>85773</v>
      </c>
      <c r="D16" s="15">
        <v>1500000</v>
      </c>
      <c r="E16" s="15">
        <v>3000000</v>
      </c>
      <c r="F16" s="19">
        <v>169477.21</v>
      </c>
      <c r="G16" s="19">
        <v>2.4700000000000002</v>
      </c>
      <c r="H16" s="19">
        <v>87494.25</v>
      </c>
      <c r="I16" s="19">
        <v>2.42</v>
      </c>
      <c r="J16" s="19">
        <v>105575.59</v>
      </c>
      <c r="K16" s="19">
        <v>2.37</v>
      </c>
      <c r="L16" s="19">
        <v>144861.9</v>
      </c>
      <c r="M16" s="19">
        <v>2.33</v>
      </c>
      <c r="N16" s="19">
        <v>167231.56</v>
      </c>
      <c r="O16" s="19">
        <v>8.08</v>
      </c>
      <c r="P16" s="19">
        <v>141571.49</v>
      </c>
      <c r="Q16" s="19">
        <v>4.26</v>
      </c>
      <c r="R16" s="19">
        <v>166359.45000000001</v>
      </c>
      <c r="S16" s="19">
        <v>4.18</v>
      </c>
      <c r="T16" s="15">
        <v>247876.86</v>
      </c>
      <c r="U16" s="19">
        <v>4.09</v>
      </c>
      <c r="V16" s="19">
        <v>243556.72</v>
      </c>
      <c r="W16" s="19">
        <v>4.01</v>
      </c>
      <c r="X16" s="19">
        <v>233804.08</v>
      </c>
      <c r="Y16" s="19">
        <v>3.96</v>
      </c>
      <c r="Z16" s="19">
        <v>94803.91</v>
      </c>
      <c r="AA16" s="19">
        <v>3.93</v>
      </c>
      <c r="AB16" s="19">
        <v>357729.89</v>
      </c>
      <c r="AC16" s="19">
        <v>3.55</v>
      </c>
      <c r="AD16" s="19">
        <v>320191.63</v>
      </c>
      <c r="AE16" s="19">
        <v>3.69</v>
      </c>
      <c r="AF16" s="19">
        <v>191691.1</v>
      </c>
      <c r="AG16" s="19">
        <v>3.56</v>
      </c>
      <c r="AH16" s="19">
        <v>47727.09</v>
      </c>
      <c r="AI16" s="19">
        <v>3.33</v>
      </c>
      <c r="AJ16" s="19">
        <v>5275.29</v>
      </c>
      <c r="AK16" s="19">
        <v>3.18</v>
      </c>
      <c r="AL16" s="19">
        <v>12095.55</v>
      </c>
      <c r="AM16" s="19">
        <v>4.0599999999999996</v>
      </c>
      <c r="AN16" s="19">
        <v>22885.58</v>
      </c>
      <c r="AO16" s="19">
        <v>3.7</v>
      </c>
      <c r="AP16" s="19">
        <v>258657.83</v>
      </c>
      <c r="AQ16" s="19"/>
      <c r="AR16" s="19">
        <v>169184.65</v>
      </c>
      <c r="AS16" s="19"/>
      <c r="AT16" s="19">
        <v>141874.37</v>
      </c>
      <c r="AU16" s="19"/>
      <c r="AV16" s="19">
        <v>238099.91</v>
      </c>
      <c r="AW16" s="19"/>
      <c r="AX16" s="19">
        <v>168647.12</v>
      </c>
      <c r="AY16" s="19"/>
      <c r="AZ16" s="19">
        <v>268345.43</v>
      </c>
      <c r="BA16" s="19"/>
      <c r="BB16" s="19">
        <v>201956.21</v>
      </c>
      <c r="BC16" s="19"/>
      <c r="BD16" s="19"/>
      <c r="BE16" s="19"/>
      <c r="BF16" s="19"/>
      <c r="BG16" s="19"/>
    </row>
    <row r="17" spans="1:59" x14ac:dyDescent="0.25">
      <c r="A17" s="8">
        <v>869</v>
      </c>
      <c r="B17" s="9" t="s">
        <v>17</v>
      </c>
      <c r="C17" s="10">
        <v>86330</v>
      </c>
      <c r="D17" s="15">
        <v>2500000</v>
      </c>
      <c r="E17" s="15">
        <v>7500000</v>
      </c>
      <c r="F17" s="19">
        <v>819731.06</v>
      </c>
      <c r="G17" s="19">
        <v>4.9000000000000004</v>
      </c>
      <c r="H17" s="19">
        <v>864588.34</v>
      </c>
      <c r="I17" s="19">
        <v>4.8</v>
      </c>
      <c r="J17" s="19">
        <v>1172205.3899999999</v>
      </c>
      <c r="K17" s="19">
        <v>4.7</v>
      </c>
      <c r="L17" s="19">
        <v>1013872.13</v>
      </c>
      <c r="M17" s="19">
        <v>4.6100000000000003</v>
      </c>
      <c r="N17" s="19">
        <v>964371.3</v>
      </c>
      <c r="O17" s="19">
        <v>4.5199999999999996</v>
      </c>
      <c r="P17" s="19">
        <v>646440.6</v>
      </c>
      <c r="Q17" s="19">
        <v>4.43</v>
      </c>
      <c r="R17" s="19">
        <v>444933.07</v>
      </c>
      <c r="S17" s="19">
        <v>4.34</v>
      </c>
      <c r="T17" s="19">
        <v>1370582.97</v>
      </c>
      <c r="U17" s="19">
        <v>4.26</v>
      </c>
      <c r="V17" s="19">
        <v>1654553.36</v>
      </c>
      <c r="W17" s="19">
        <v>4.17</v>
      </c>
      <c r="X17" s="19">
        <v>1123767.78</v>
      </c>
      <c r="Y17" s="19">
        <v>4.09</v>
      </c>
      <c r="Z17" s="19">
        <v>735494.42</v>
      </c>
      <c r="AA17" s="19">
        <v>5.65</v>
      </c>
      <c r="AB17" s="19">
        <v>1084250.97</v>
      </c>
      <c r="AC17" s="19">
        <v>5.59</v>
      </c>
      <c r="AD17" s="19">
        <v>1025955.84</v>
      </c>
      <c r="AE17" s="19">
        <v>5.12</v>
      </c>
      <c r="AF17" s="19">
        <v>1313189.97</v>
      </c>
      <c r="AG17" s="19">
        <v>5</v>
      </c>
      <c r="AH17" s="19">
        <v>1637217.58</v>
      </c>
      <c r="AI17" s="19">
        <v>5</v>
      </c>
      <c r="AJ17" s="19">
        <v>1005120.76</v>
      </c>
      <c r="AK17" s="19">
        <v>4.4000000000000004</v>
      </c>
      <c r="AL17" s="19">
        <v>1771694.53</v>
      </c>
      <c r="AM17" s="19">
        <v>5.25</v>
      </c>
      <c r="AN17" s="19">
        <v>1389422.2</v>
      </c>
      <c r="AO17" s="19">
        <v>5.05</v>
      </c>
      <c r="AP17" s="19">
        <v>1354488.09</v>
      </c>
      <c r="AQ17" s="19">
        <v>4.9800000000000004</v>
      </c>
      <c r="AR17" s="19">
        <v>1950515.16</v>
      </c>
      <c r="AS17" s="19">
        <v>177.67</v>
      </c>
      <c r="AT17" s="19">
        <v>1082925.27</v>
      </c>
      <c r="AU17" s="19">
        <v>6.2</v>
      </c>
      <c r="AV17" s="19">
        <v>962398.29</v>
      </c>
      <c r="AW17" s="19">
        <v>6.22</v>
      </c>
      <c r="AX17" s="19">
        <v>1339958.32</v>
      </c>
      <c r="AY17" s="19">
        <v>6.38</v>
      </c>
      <c r="AZ17" s="19">
        <v>1239719.3</v>
      </c>
      <c r="BA17" s="19">
        <v>6.49</v>
      </c>
      <c r="BB17" s="19">
        <v>1305387.31</v>
      </c>
      <c r="BC17" s="19">
        <v>60.46</v>
      </c>
      <c r="BD17" s="19"/>
      <c r="BE17" s="19"/>
      <c r="BF17" s="19"/>
      <c r="BG17" s="19"/>
    </row>
    <row r="18" spans="1:59" x14ac:dyDescent="0.25">
      <c r="A18" s="8">
        <v>870</v>
      </c>
      <c r="B18" s="9" t="s">
        <v>18</v>
      </c>
      <c r="C18" s="10">
        <v>86329</v>
      </c>
      <c r="D18" s="15">
        <v>3000000</v>
      </c>
      <c r="E18" s="15">
        <v>6000000</v>
      </c>
      <c r="F18" s="19">
        <v>401464</v>
      </c>
      <c r="G18" s="19"/>
      <c r="H18" s="19">
        <v>588268.26</v>
      </c>
      <c r="I18" s="19"/>
      <c r="J18" s="19">
        <v>452159.99</v>
      </c>
      <c r="K18" s="19"/>
      <c r="L18" s="19">
        <v>205886.79</v>
      </c>
      <c r="M18" s="19"/>
      <c r="N18" s="19">
        <v>1002711.38</v>
      </c>
      <c r="O18" s="19"/>
      <c r="P18" s="19">
        <v>172080.48</v>
      </c>
      <c r="Q18" s="19"/>
      <c r="R18" s="19">
        <v>396256.67</v>
      </c>
      <c r="S18" s="19"/>
      <c r="T18" s="19">
        <v>233192.42</v>
      </c>
      <c r="U18" s="19"/>
      <c r="V18" s="35">
        <v>317904.99</v>
      </c>
      <c r="W18" s="19"/>
      <c r="X18" s="35">
        <v>302930.65000000002</v>
      </c>
      <c r="Y18" s="19"/>
      <c r="Z18" s="35">
        <v>375615.9</v>
      </c>
      <c r="AA18" s="19"/>
      <c r="AB18" s="35">
        <v>345653.66</v>
      </c>
      <c r="AC18" s="19"/>
      <c r="AD18" s="35">
        <v>402848.18</v>
      </c>
      <c r="AE18" s="19"/>
      <c r="AF18" s="35">
        <v>352854.65</v>
      </c>
      <c r="AG18" s="19"/>
      <c r="AH18" s="35">
        <v>481099.85</v>
      </c>
      <c r="AI18" s="19"/>
      <c r="AJ18" s="35">
        <v>620588.44999999995</v>
      </c>
      <c r="AK18" s="19">
        <v>154.13999999999999</v>
      </c>
      <c r="AL18" s="35">
        <v>429591.83</v>
      </c>
      <c r="AM18" s="19"/>
      <c r="AN18" s="35">
        <v>1107492.8600000001</v>
      </c>
      <c r="AO18" s="19"/>
      <c r="AP18" s="35">
        <v>696122.12</v>
      </c>
      <c r="AQ18" s="19"/>
      <c r="AR18" s="35">
        <v>804081.63</v>
      </c>
      <c r="AS18" s="19">
        <v>169.91</v>
      </c>
      <c r="AT18" s="35">
        <v>560885.23</v>
      </c>
      <c r="AU18" s="19">
        <v>132.5</v>
      </c>
      <c r="AV18" s="35">
        <v>136330.25</v>
      </c>
      <c r="AW18" s="19"/>
      <c r="AX18" s="35">
        <v>832481.86</v>
      </c>
      <c r="AY18" s="19"/>
      <c r="AZ18" s="35">
        <v>543308.76</v>
      </c>
      <c r="BA18" s="19"/>
      <c r="BB18" s="35">
        <v>1901471.13</v>
      </c>
      <c r="BC18" s="19"/>
      <c r="BD18" s="35"/>
      <c r="BE18" s="19"/>
      <c r="BF18" s="35"/>
      <c r="BG18" s="19"/>
    </row>
    <row r="19" spans="1:59" x14ac:dyDescent="0.25">
      <c r="A19" s="26">
        <v>872</v>
      </c>
      <c r="B19" s="27" t="s">
        <v>19</v>
      </c>
      <c r="C19" s="28">
        <v>86524</v>
      </c>
      <c r="D19" s="29"/>
      <c r="E19" s="29"/>
      <c r="F19" s="19">
        <v>146901.88</v>
      </c>
      <c r="G19" s="19"/>
      <c r="H19" s="19">
        <v>300881.48</v>
      </c>
      <c r="I19" s="19"/>
      <c r="J19" s="19">
        <v>334528.96999999997</v>
      </c>
      <c r="K19" s="19"/>
      <c r="L19" s="19">
        <v>360857.03</v>
      </c>
      <c r="M19" s="19"/>
      <c r="N19" s="30">
        <v>173.03</v>
      </c>
      <c r="O19" s="19"/>
      <c r="P19" s="30" t="s">
        <v>74</v>
      </c>
      <c r="Q19" s="19"/>
      <c r="R19" s="30" t="s">
        <v>74</v>
      </c>
      <c r="S19" s="19"/>
      <c r="T19" s="30"/>
      <c r="U19" s="19"/>
      <c r="V19" s="30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</row>
    <row r="20" spans="1:59" x14ac:dyDescent="0.25">
      <c r="A20" s="26">
        <v>878</v>
      </c>
      <c r="B20" s="27" t="s">
        <v>20</v>
      </c>
      <c r="C20" s="28">
        <v>86270</v>
      </c>
      <c r="D20" s="29"/>
      <c r="E20" s="29"/>
      <c r="F20" s="19">
        <v>134.31</v>
      </c>
      <c r="G20" s="19"/>
      <c r="H20" s="19">
        <v>134.31</v>
      </c>
      <c r="I20" s="19"/>
      <c r="J20" s="19">
        <v>134.31</v>
      </c>
      <c r="K20" s="19"/>
      <c r="L20" s="19" t="s">
        <v>75</v>
      </c>
      <c r="M20" s="19"/>
      <c r="N20" s="31">
        <v>-9356.11</v>
      </c>
      <c r="O20" s="19"/>
      <c r="P20" s="31">
        <v>-9161.2999999999993</v>
      </c>
      <c r="Q20" s="19"/>
      <c r="R20" s="31">
        <v>-8966.49</v>
      </c>
      <c r="S20" s="19"/>
      <c r="T20" s="30" t="s">
        <v>74</v>
      </c>
      <c r="U20" s="19"/>
      <c r="V20" s="32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</row>
    <row r="21" spans="1:59" x14ac:dyDescent="0.25">
      <c r="A21" s="26">
        <v>884</v>
      </c>
      <c r="B21" s="27" t="s">
        <v>21</v>
      </c>
      <c r="C21" s="28">
        <v>86729</v>
      </c>
      <c r="D21" s="29"/>
      <c r="E21" s="29"/>
      <c r="F21" s="19">
        <v>134.31</v>
      </c>
      <c r="G21" s="19"/>
      <c r="H21" s="19">
        <v>134.31</v>
      </c>
      <c r="I21" s="19"/>
      <c r="J21" s="19">
        <v>134.31</v>
      </c>
      <c r="K21" s="19"/>
      <c r="L21" s="19" t="s">
        <v>76</v>
      </c>
      <c r="M21" s="19"/>
      <c r="N21" s="31">
        <v>-72520.320000000007</v>
      </c>
      <c r="O21" s="19"/>
      <c r="P21" s="31">
        <v>-72386.009999999995</v>
      </c>
      <c r="Q21" s="19"/>
      <c r="R21" s="31">
        <v>-72251.7</v>
      </c>
      <c r="S21" s="19"/>
      <c r="T21" s="30" t="s">
        <v>74</v>
      </c>
      <c r="U21" s="19"/>
      <c r="V21" s="32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</row>
    <row r="22" spans="1:59" x14ac:dyDescent="0.25">
      <c r="A22" s="8">
        <v>886</v>
      </c>
      <c r="B22" s="9" t="s">
        <v>22</v>
      </c>
      <c r="C22" s="10">
        <v>86107</v>
      </c>
      <c r="D22" s="15">
        <v>900000</v>
      </c>
      <c r="E22" s="15">
        <v>1800000</v>
      </c>
      <c r="F22" s="19">
        <v>337918.44</v>
      </c>
      <c r="G22" s="19"/>
      <c r="H22" s="19">
        <v>472268.63</v>
      </c>
      <c r="I22" s="19"/>
      <c r="J22" s="19">
        <v>571602.35</v>
      </c>
      <c r="K22" s="19"/>
      <c r="L22" s="19">
        <v>349810.72</v>
      </c>
      <c r="M22" s="19"/>
      <c r="N22" s="19">
        <v>715878.29</v>
      </c>
      <c r="O22" s="19"/>
      <c r="P22" s="19">
        <v>870717.39</v>
      </c>
      <c r="Q22" s="19"/>
      <c r="R22" s="19">
        <v>906923.5</v>
      </c>
      <c r="S22" s="19"/>
      <c r="T22" s="19">
        <v>936488.71</v>
      </c>
      <c r="U22" s="19"/>
      <c r="V22" s="19">
        <v>912858.62</v>
      </c>
      <c r="W22" s="19"/>
      <c r="X22" s="19">
        <v>197958.03</v>
      </c>
      <c r="Y22" s="19"/>
      <c r="Z22" s="19">
        <v>145264.99</v>
      </c>
      <c r="AA22" s="19"/>
      <c r="AB22" s="19">
        <v>214698.39</v>
      </c>
      <c r="AC22" s="19"/>
      <c r="AD22" s="19">
        <v>329802.08</v>
      </c>
      <c r="AE22" s="19"/>
      <c r="AF22" s="19">
        <v>640353.99</v>
      </c>
      <c r="AG22" s="19"/>
      <c r="AH22" s="19">
        <v>761365.93</v>
      </c>
      <c r="AI22" s="19"/>
      <c r="AJ22" s="19">
        <v>985476.93</v>
      </c>
      <c r="AK22" s="19"/>
      <c r="AL22" s="19">
        <v>936006.68</v>
      </c>
      <c r="AM22" s="19"/>
      <c r="AN22" s="19">
        <v>995751.41</v>
      </c>
      <c r="AO22" s="19"/>
      <c r="AP22" s="19">
        <v>968919.04000000004</v>
      </c>
      <c r="AQ22" s="19"/>
      <c r="AR22" s="19">
        <v>661882.56000000006</v>
      </c>
      <c r="AS22" s="19"/>
      <c r="AT22" s="19">
        <v>768847.04</v>
      </c>
      <c r="AU22" s="19"/>
      <c r="AV22" s="19">
        <v>664136.67000000004</v>
      </c>
      <c r="AW22" s="19"/>
      <c r="AX22" s="19">
        <v>655027</v>
      </c>
      <c r="AY22" s="19"/>
      <c r="AZ22" s="19">
        <v>834367.34</v>
      </c>
      <c r="BA22" s="19"/>
      <c r="BB22" s="19">
        <v>935649.38</v>
      </c>
      <c r="BC22" s="19"/>
      <c r="BD22" s="19"/>
      <c r="BE22" s="19"/>
      <c r="BF22" s="19"/>
      <c r="BG22" s="19"/>
    </row>
    <row r="23" spans="1:59" x14ac:dyDescent="0.25">
      <c r="A23" s="26">
        <v>888</v>
      </c>
      <c r="B23" s="27" t="s">
        <v>23</v>
      </c>
      <c r="C23" s="28">
        <v>86637</v>
      </c>
      <c r="F23" s="19">
        <v>152166.75</v>
      </c>
      <c r="G23" s="19"/>
      <c r="H23" s="19">
        <v>177963.15</v>
      </c>
      <c r="I23" s="19"/>
      <c r="J23" s="19">
        <v>211355.19</v>
      </c>
      <c r="K23" s="19"/>
      <c r="L23" s="19">
        <v>242822.01</v>
      </c>
      <c r="M23" s="19"/>
      <c r="N23" s="19">
        <v>276669.86</v>
      </c>
      <c r="O23" s="19"/>
      <c r="P23" s="19">
        <v>304073.53000000003</v>
      </c>
      <c r="Q23" s="19"/>
      <c r="R23" s="19">
        <v>222312.52</v>
      </c>
      <c r="S23" s="19"/>
      <c r="T23" s="15">
        <v>243021.32</v>
      </c>
      <c r="U23" s="19"/>
      <c r="V23" s="19">
        <v>159892.42000000001</v>
      </c>
      <c r="W23" s="19"/>
      <c r="X23" s="19">
        <v>133.72999999999999</v>
      </c>
      <c r="Y23" s="19"/>
      <c r="Z23" s="19">
        <v>280.36</v>
      </c>
      <c r="AA23" s="19"/>
      <c r="AB23" s="19">
        <v>147.35</v>
      </c>
      <c r="AC23" s="19"/>
      <c r="AD23" s="19">
        <v>498394.52</v>
      </c>
      <c r="AE23" s="19"/>
      <c r="AF23" s="19">
        <v>595523.63</v>
      </c>
      <c r="AG23" s="19"/>
      <c r="AH23" s="19">
        <v>611539.16</v>
      </c>
      <c r="AI23" s="19"/>
      <c r="AJ23" s="19">
        <v>673100.34</v>
      </c>
      <c r="AK23" s="19"/>
      <c r="AL23" s="19">
        <v>745101.61</v>
      </c>
      <c r="AM23" s="19"/>
      <c r="AN23" s="19">
        <v>801802.58</v>
      </c>
      <c r="AO23" s="19"/>
      <c r="AP23" s="19">
        <v>859500.93</v>
      </c>
      <c r="AQ23" s="19"/>
      <c r="AR23" s="19">
        <v>931298.02</v>
      </c>
      <c r="AS23" s="19"/>
      <c r="AT23" s="19">
        <v>995672.5</v>
      </c>
      <c r="AU23" s="19"/>
      <c r="AV23" s="19">
        <v>1052226.03</v>
      </c>
      <c r="AW23" s="19"/>
      <c r="AX23" s="19">
        <v>1118877.3</v>
      </c>
      <c r="AY23" s="19"/>
      <c r="AZ23" s="19">
        <v>1196234.56</v>
      </c>
      <c r="BA23" s="19"/>
      <c r="BB23" s="19"/>
      <c r="BC23" s="19"/>
      <c r="BD23" s="19"/>
      <c r="BE23" s="19"/>
      <c r="BF23" s="19"/>
      <c r="BG23" s="19"/>
    </row>
    <row r="24" spans="1:59" x14ac:dyDescent="0.25">
      <c r="A24" s="8">
        <v>890</v>
      </c>
      <c r="B24" s="9" t="s">
        <v>24</v>
      </c>
      <c r="C24" s="10">
        <v>83452</v>
      </c>
      <c r="D24" s="15">
        <v>2000000</v>
      </c>
      <c r="E24" s="15">
        <v>4000000</v>
      </c>
      <c r="F24" s="19">
        <v>506169.91</v>
      </c>
      <c r="G24" s="19"/>
      <c r="H24" s="19">
        <v>411235.79</v>
      </c>
      <c r="I24" s="19"/>
      <c r="J24" s="19">
        <v>469369.37</v>
      </c>
      <c r="K24" s="19"/>
      <c r="L24" s="19">
        <v>1214862.18</v>
      </c>
      <c r="M24" s="19"/>
      <c r="N24" s="19">
        <v>1288986.55</v>
      </c>
      <c r="O24" s="19"/>
      <c r="P24" s="19">
        <v>1529169.32</v>
      </c>
      <c r="Q24" s="19"/>
      <c r="R24" s="19">
        <v>712045.04</v>
      </c>
      <c r="S24" s="19"/>
      <c r="T24" s="19">
        <v>832635.78</v>
      </c>
      <c r="U24" s="19"/>
      <c r="V24" s="19">
        <v>849124.22</v>
      </c>
      <c r="W24" s="19"/>
      <c r="X24" s="19">
        <v>518343.71</v>
      </c>
      <c r="Y24" s="19"/>
      <c r="Z24" s="19">
        <v>324154.36</v>
      </c>
      <c r="AA24" s="19"/>
      <c r="AB24" s="19">
        <v>286186.99</v>
      </c>
      <c r="AC24" s="19"/>
      <c r="AD24" s="19">
        <v>530056.73</v>
      </c>
      <c r="AE24" s="19"/>
      <c r="AF24" s="19">
        <v>741933.67</v>
      </c>
      <c r="AG24" s="19"/>
      <c r="AH24" s="19">
        <v>542961.71</v>
      </c>
      <c r="AI24" s="19"/>
      <c r="AJ24" s="19">
        <v>736104.99</v>
      </c>
      <c r="AK24" s="19"/>
      <c r="AL24" s="19">
        <v>1252977.01</v>
      </c>
      <c r="AM24" s="19"/>
      <c r="AN24" s="19">
        <v>298584.09000000003</v>
      </c>
      <c r="AO24" s="19"/>
      <c r="AP24" s="19">
        <v>496525.49</v>
      </c>
      <c r="AQ24" s="19"/>
      <c r="AR24" s="19">
        <v>593115.69999999995</v>
      </c>
      <c r="AS24" s="19"/>
      <c r="AT24" s="19">
        <v>768967.54</v>
      </c>
      <c r="AU24" s="19"/>
      <c r="AV24" s="19">
        <v>1207122.2</v>
      </c>
      <c r="AW24" s="19"/>
      <c r="AX24" s="19">
        <v>998680.72</v>
      </c>
      <c r="AY24" s="19"/>
      <c r="AZ24" s="19">
        <v>729857.09</v>
      </c>
      <c r="BA24" s="19"/>
      <c r="BB24" s="19">
        <v>994254.42</v>
      </c>
      <c r="BC24" s="19"/>
      <c r="BD24" s="19"/>
      <c r="BE24" s="19"/>
      <c r="BF24" s="19"/>
      <c r="BG24" s="19"/>
    </row>
    <row r="25" spans="1:59" x14ac:dyDescent="0.25">
      <c r="A25" s="8">
        <v>891</v>
      </c>
      <c r="B25" s="9" t="s">
        <v>25</v>
      </c>
      <c r="C25" s="10">
        <v>87020</v>
      </c>
      <c r="D25" s="15">
        <v>3000000</v>
      </c>
      <c r="E25" s="15">
        <v>6000000</v>
      </c>
      <c r="F25" s="19">
        <v>34509.339999999997</v>
      </c>
      <c r="G25" s="19">
        <v>174.06</v>
      </c>
      <c r="H25" s="19">
        <v>8809.33</v>
      </c>
      <c r="I25" s="19">
        <v>739.72</v>
      </c>
      <c r="J25" s="19">
        <v>8809.33</v>
      </c>
      <c r="K25" s="19">
        <v>317.22000000000003</v>
      </c>
      <c r="L25" s="19">
        <v>339219.74</v>
      </c>
      <c r="M25" s="19">
        <v>356.42</v>
      </c>
      <c r="N25" s="19">
        <v>61879.01</v>
      </c>
      <c r="O25" s="19">
        <v>0.14000000000000001</v>
      </c>
      <c r="P25" s="19">
        <v>134.31</v>
      </c>
      <c r="Q25" s="19"/>
      <c r="R25" s="19">
        <v>134.31</v>
      </c>
      <c r="S25" s="19"/>
      <c r="T25" s="15">
        <v>134.31</v>
      </c>
      <c r="U25" s="19"/>
      <c r="V25" s="15">
        <v>134.31</v>
      </c>
      <c r="W25" s="19"/>
      <c r="X25" s="15">
        <v>134.31</v>
      </c>
      <c r="Y25" s="19"/>
      <c r="Z25" s="19">
        <v>418396.54</v>
      </c>
      <c r="AA25" s="19">
        <v>0.14000000000000001</v>
      </c>
      <c r="AB25" s="15">
        <v>173.03</v>
      </c>
      <c r="AC25" s="19"/>
      <c r="AD25" s="15">
        <v>630780.35</v>
      </c>
      <c r="AE25" s="19">
        <v>1812.09</v>
      </c>
      <c r="AF25" s="15">
        <v>456495.82</v>
      </c>
      <c r="AG25" s="19">
        <v>1276.33</v>
      </c>
      <c r="AH25" s="15">
        <v>120569.51</v>
      </c>
      <c r="AI25" s="19">
        <v>304.91000000000003</v>
      </c>
      <c r="AJ25" s="15">
        <v>280325.19</v>
      </c>
      <c r="AK25" s="19">
        <v>691.71</v>
      </c>
      <c r="AL25" s="15">
        <v>437047.54</v>
      </c>
      <c r="AM25" s="19">
        <v>1023.08</v>
      </c>
      <c r="AN25" s="15">
        <v>1648.85</v>
      </c>
      <c r="AO25" s="19">
        <v>1.99</v>
      </c>
      <c r="AP25" s="15">
        <v>810.03</v>
      </c>
      <c r="AQ25" s="19">
        <v>1.99</v>
      </c>
      <c r="AR25" s="15">
        <v>801.16</v>
      </c>
      <c r="AS25" s="19">
        <v>1.99</v>
      </c>
      <c r="AT25" s="15">
        <v>1590.35</v>
      </c>
      <c r="AU25" s="19">
        <v>1.99</v>
      </c>
      <c r="AV25" s="15">
        <v>527552.68999999994</v>
      </c>
      <c r="AW25" s="19">
        <v>1255.1300000000001</v>
      </c>
      <c r="AX25" s="15">
        <v>77054.87</v>
      </c>
      <c r="AY25" s="19">
        <v>184.61</v>
      </c>
      <c r="AZ25" s="15">
        <v>35817.269999999997</v>
      </c>
      <c r="BA25" s="19">
        <v>83.86</v>
      </c>
      <c r="BB25" s="15">
        <v>175590.62</v>
      </c>
      <c r="BC25" s="19">
        <v>195.33</v>
      </c>
      <c r="BD25" s="15"/>
      <c r="BE25" s="19"/>
      <c r="BF25" s="15"/>
      <c r="BG25" s="19"/>
    </row>
    <row r="26" spans="1:59" x14ac:dyDescent="0.25">
      <c r="A26" s="23">
        <v>896</v>
      </c>
      <c r="B26" s="9" t="s">
        <v>77</v>
      </c>
      <c r="C26" s="10">
        <v>59053</v>
      </c>
      <c r="D26" s="15">
        <v>1000000</v>
      </c>
      <c r="E26" s="15">
        <v>2000000</v>
      </c>
      <c r="F26" s="19"/>
      <c r="G26" s="19"/>
      <c r="H26" s="19"/>
      <c r="I26" s="19"/>
      <c r="J26" s="19"/>
      <c r="K26" s="19"/>
      <c r="L26" s="19">
        <v>104125.41</v>
      </c>
      <c r="M26" s="19"/>
      <c r="N26" s="19">
        <v>102391.2</v>
      </c>
      <c r="O26" s="19"/>
      <c r="P26" s="19">
        <v>208953.96</v>
      </c>
      <c r="Q26" s="19"/>
      <c r="R26" s="19">
        <v>167408.06</v>
      </c>
      <c r="S26" s="19"/>
      <c r="T26" s="19">
        <v>192129.28</v>
      </c>
      <c r="U26" s="19"/>
      <c r="V26" s="19">
        <v>155089.51999999999</v>
      </c>
      <c r="W26" s="19"/>
      <c r="X26" s="19">
        <v>85388.85</v>
      </c>
      <c r="Y26" s="19"/>
      <c r="Z26" s="15">
        <v>321749.28000000003</v>
      </c>
      <c r="AA26" s="19"/>
      <c r="AB26" s="19">
        <v>620432.94999999995</v>
      </c>
      <c r="AC26" s="19"/>
      <c r="AD26" s="19">
        <v>146240.75</v>
      </c>
      <c r="AE26" s="19"/>
      <c r="AF26" s="19">
        <v>184405.68</v>
      </c>
      <c r="AG26" s="19">
        <v>5.05</v>
      </c>
      <c r="AH26" s="19">
        <v>346079.39</v>
      </c>
      <c r="AI26" s="19"/>
      <c r="AJ26" s="19">
        <v>434309.1</v>
      </c>
      <c r="AK26" s="19"/>
      <c r="AL26" s="19">
        <v>673126.76</v>
      </c>
      <c r="AM26" s="19">
        <v>4.96</v>
      </c>
      <c r="AN26" s="19">
        <v>574438.84</v>
      </c>
      <c r="AO26" s="19"/>
      <c r="AP26" s="19">
        <v>319641.36</v>
      </c>
      <c r="AQ26" s="19"/>
      <c r="AR26" s="19">
        <v>569287.30000000005</v>
      </c>
      <c r="AS26" s="19">
        <v>6.25</v>
      </c>
      <c r="AT26" s="19">
        <v>545516.49</v>
      </c>
      <c r="AU26" s="19">
        <v>6.13</v>
      </c>
      <c r="AV26" s="19">
        <v>1040034.77</v>
      </c>
      <c r="AW26" s="19">
        <v>6.45</v>
      </c>
      <c r="AX26" s="19">
        <v>861079</v>
      </c>
      <c r="AY26" s="19">
        <v>6.46</v>
      </c>
      <c r="AZ26" s="19">
        <v>339373.2</v>
      </c>
      <c r="BA26" s="19">
        <v>6.59</v>
      </c>
      <c r="BB26" s="19">
        <v>507414.33</v>
      </c>
      <c r="BC26" s="19">
        <v>6.48</v>
      </c>
      <c r="BD26" s="19"/>
      <c r="BE26" s="19"/>
      <c r="BF26" s="19"/>
      <c r="BG26" s="19"/>
    </row>
    <row r="27" spans="1:59" x14ac:dyDescent="0.25">
      <c r="A27" s="23">
        <v>897</v>
      </c>
      <c r="B27" s="9" t="s">
        <v>78</v>
      </c>
      <c r="C27" s="10">
        <v>87039</v>
      </c>
      <c r="D27" s="15">
        <v>800000</v>
      </c>
      <c r="E27" s="15">
        <v>1600000</v>
      </c>
      <c r="F27" s="19"/>
      <c r="G27" s="19"/>
      <c r="H27" s="19"/>
      <c r="I27" s="19"/>
      <c r="J27" s="19"/>
      <c r="K27" s="19"/>
      <c r="L27" s="19">
        <v>173.03</v>
      </c>
      <c r="M27" s="19"/>
      <c r="N27" s="19">
        <v>173.03</v>
      </c>
      <c r="O27" s="19"/>
      <c r="P27" s="19">
        <v>173.03</v>
      </c>
      <c r="Q27" s="19"/>
      <c r="R27" s="19">
        <v>63133.31</v>
      </c>
      <c r="S27" s="19"/>
      <c r="T27" s="15">
        <v>134.31</v>
      </c>
      <c r="U27" s="19"/>
      <c r="V27" s="19">
        <v>134.31</v>
      </c>
      <c r="W27" s="19"/>
      <c r="X27" s="19">
        <v>134.31</v>
      </c>
      <c r="Y27" s="19"/>
      <c r="Z27" s="19">
        <v>134.31</v>
      </c>
      <c r="AA27" s="19"/>
      <c r="AB27" s="19">
        <v>134.31</v>
      </c>
      <c r="AC27" s="19"/>
      <c r="AD27" s="19">
        <v>134.31</v>
      </c>
      <c r="AE27" s="19"/>
      <c r="AF27" s="19">
        <v>134.31</v>
      </c>
      <c r="AG27" s="19"/>
      <c r="AH27" s="19">
        <v>173.03</v>
      </c>
      <c r="AI27" s="19"/>
      <c r="AJ27" s="19">
        <v>173.03</v>
      </c>
      <c r="AK27" s="19"/>
      <c r="AL27" s="19">
        <v>173.03</v>
      </c>
      <c r="AM27" s="19"/>
      <c r="AN27" s="19">
        <v>134.31</v>
      </c>
      <c r="AO27" s="19"/>
      <c r="AP27" s="19">
        <v>134.31</v>
      </c>
      <c r="AQ27" s="19"/>
      <c r="AR27" s="19">
        <v>134.31</v>
      </c>
      <c r="AS27" s="19"/>
      <c r="AT27" s="19">
        <v>134.31</v>
      </c>
      <c r="AU27" s="19"/>
      <c r="AV27" s="19">
        <v>134.31</v>
      </c>
      <c r="AW27" s="19"/>
      <c r="AX27" s="19">
        <v>134.31</v>
      </c>
      <c r="AY27" s="19"/>
      <c r="AZ27" s="19">
        <v>134.31</v>
      </c>
      <c r="BA27" s="19"/>
      <c r="BB27" s="19">
        <v>134.31</v>
      </c>
      <c r="BC27" s="19"/>
      <c r="BD27" s="19"/>
      <c r="BE27" s="19"/>
      <c r="BF27" s="19"/>
      <c r="BG27" s="19"/>
    </row>
    <row r="28" spans="1:59" x14ac:dyDescent="0.25">
      <c r="A28" s="8">
        <v>1030150</v>
      </c>
      <c r="B28" s="11" t="s">
        <v>26</v>
      </c>
      <c r="C28" s="10">
        <v>55127</v>
      </c>
      <c r="D28" s="15">
        <v>2400</v>
      </c>
      <c r="E28" s="15">
        <v>4800</v>
      </c>
      <c r="F28" s="19">
        <v>134.31</v>
      </c>
      <c r="G28" s="19"/>
      <c r="H28" s="19">
        <v>134.31</v>
      </c>
      <c r="I28" s="19"/>
      <c r="J28" s="19">
        <v>134.31</v>
      </c>
      <c r="K28" s="19"/>
      <c r="L28" s="19">
        <v>497.31</v>
      </c>
      <c r="M28" s="19"/>
      <c r="N28" s="19">
        <v>497.31</v>
      </c>
      <c r="O28" s="19"/>
      <c r="P28" s="19">
        <v>497.31</v>
      </c>
      <c r="Q28" s="19"/>
      <c r="R28" s="19">
        <v>134.31</v>
      </c>
      <c r="S28" s="19"/>
      <c r="T28" s="19">
        <v>134.31</v>
      </c>
      <c r="U28" s="19"/>
      <c r="V28" s="19">
        <v>134.31</v>
      </c>
      <c r="W28" s="19"/>
      <c r="X28" s="19">
        <v>134.31</v>
      </c>
      <c r="Y28" s="19"/>
      <c r="Z28" s="19">
        <v>134.31</v>
      </c>
      <c r="AA28" s="19"/>
      <c r="AB28" s="19">
        <v>134.31</v>
      </c>
      <c r="AC28" s="19"/>
      <c r="AD28" s="19">
        <v>134.31</v>
      </c>
      <c r="AE28" s="19"/>
      <c r="AF28" s="19">
        <v>134.31</v>
      </c>
      <c r="AG28" s="19"/>
      <c r="AH28" s="19">
        <v>134.31</v>
      </c>
      <c r="AI28" s="19"/>
      <c r="AJ28" s="19">
        <v>134.31</v>
      </c>
      <c r="AK28" s="19"/>
      <c r="AL28" s="19">
        <v>497.31</v>
      </c>
      <c r="AM28" s="19"/>
      <c r="AN28" s="19">
        <v>497.31</v>
      </c>
      <c r="AO28" s="19"/>
      <c r="AP28" s="19">
        <v>134.31</v>
      </c>
      <c r="AQ28" s="19"/>
      <c r="AR28" s="19">
        <v>134.31</v>
      </c>
      <c r="AS28" s="19"/>
      <c r="AT28" s="19">
        <v>134.31</v>
      </c>
      <c r="AU28" s="19"/>
      <c r="AV28" s="19">
        <v>134.31</v>
      </c>
      <c r="AW28" s="19"/>
      <c r="AX28" s="19">
        <v>134.31</v>
      </c>
      <c r="AY28" s="19"/>
      <c r="AZ28" s="19">
        <v>134.31</v>
      </c>
      <c r="BA28" s="19"/>
      <c r="BB28" s="19">
        <v>134.31</v>
      </c>
      <c r="BC28" s="19"/>
      <c r="BD28" s="19"/>
      <c r="BE28" s="19"/>
      <c r="BF28" s="19"/>
      <c r="BG28" s="19"/>
    </row>
    <row r="29" spans="1:59" x14ac:dyDescent="0.25">
      <c r="A29" s="8">
        <v>1910853</v>
      </c>
      <c r="B29" s="11" t="s">
        <v>27</v>
      </c>
      <c r="C29" s="10">
        <v>83538</v>
      </c>
      <c r="D29" s="15">
        <v>900000</v>
      </c>
      <c r="E29" s="15">
        <v>1800000</v>
      </c>
      <c r="F29" s="19">
        <v>228789.4</v>
      </c>
      <c r="G29" s="19">
        <v>3.37</v>
      </c>
      <c r="H29" s="19">
        <v>391420.83</v>
      </c>
      <c r="I29" s="19">
        <v>252.1</v>
      </c>
      <c r="J29" s="19">
        <v>646907.9</v>
      </c>
      <c r="K29" s="19">
        <v>39.6</v>
      </c>
      <c r="L29" s="19">
        <v>669051.01</v>
      </c>
      <c r="M29" s="19"/>
      <c r="N29" s="19">
        <v>694983.84</v>
      </c>
      <c r="O29" s="19">
        <v>37</v>
      </c>
      <c r="P29" s="19">
        <v>754827.7</v>
      </c>
      <c r="Q29" s="19"/>
      <c r="R29" s="19">
        <v>824202.78</v>
      </c>
      <c r="S29" s="19"/>
      <c r="T29" s="19">
        <v>865609.8</v>
      </c>
      <c r="U29" s="19"/>
      <c r="V29" s="19">
        <v>837388.65</v>
      </c>
      <c r="W29" s="19">
        <v>120.56</v>
      </c>
      <c r="X29" s="19">
        <v>863952.45</v>
      </c>
      <c r="Y29" s="19"/>
      <c r="Z29" s="19">
        <v>796092.23</v>
      </c>
      <c r="AA29" s="19"/>
      <c r="AB29" s="19">
        <v>741005.54</v>
      </c>
      <c r="AC29" s="19">
        <v>16.510000000000002</v>
      </c>
      <c r="AD29" s="19">
        <v>664881.13</v>
      </c>
      <c r="AE29" s="19"/>
      <c r="AF29" s="19">
        <v>608571.28</v>
      </c>
      <c r="AG29" s="19">
        <v>32.46</v>
      </c>
      <c r="AH29" s="19">
        <v>559721.02</v>
      </c>
      <c r="AI29" s="19"/>
      <c r="AJ29" s="19">
        <v>513028.31</v>
      </c>
      <c r="AK29" s="19"/>
      <c r="AL29" s="19">
        <v>464507.62</v>
      </c>
      <c r="AM29" s="19">
        <v>34.85</v>
      </c>
      <c r="AN29" s="19">
        <v>486065.65</v>
      </c>
      <c r="AO29" s="19">
        <v>13.37</v>
      </c>
      <c r="AP29" s="19">
        <v>449256.17</v>
      </c>
      <c r="AQ29" s="19">
        <v>13.25</v>
      </c>
      <c r="AR29" s="19">
        <v>411608.19</v>
      </c>
      <c r="AS29" s="19"/>
      <c r="AT29" s="19">
        <v>288480.46999999997</v>
      </c>
      <c r="AU29" s="19"/>
      <c r="AV29" s="19">
        <v>205171.45</v>
      </c>
      <c r="AW29" s="19"/>
      <c r="AX29" s="19">
        <v>154624.01999999999</v>
      </c>
      <c r="AY29" s="19">
        <v>13.48</v>
      </c>
      <c r="AZ29" s="19">
        <v>137330.54</v>
      </c>
      <c r="BA29" s="19"/>
      <c r="BB29" s="19">
        <v>140417.81</v>
      </c>
      <c r="BC29" s="19"/>
      <c r="BD29" s="19"/>
      <c r="BE29" s="19"/>
      <c r="BF29" s="19"/>
      <c r="BG29" s="19"/>
    </row>
    <row r="30" spans="1:59" x14ac:dyDescent="0.25">
      <c r="A30" s="23">
        <v>1922625</v>
      </c>
      <c r="B30" s="11" t="s">
        <v>28</v>
      </c>
      <c r="C30" s="10">
        <v>60100</v>
      </c>
      <c r="D30" s="15">
        <v>100000</v>
      </c>
      <c r="E30" s="15">
        <v>200000</v>
      </c>
      <c r="F30" s="19">
        <v>134.31</v>
      </c>
      <c r="G30" s="19"/>
      <c r="H30" s="19">
        <v>134.31</v>
      </c>
      <c r="I30" s="19"/>
      <c r="J30" s="19">
        <v>134.31</v>
      </c>
      <c r="K30" s="19"/>
      <c r="L30" s="19">
        <v>134.31</v>
      </c>
      <c r="M30" s="19"/>
      <c r="N30" s="19">
        <v>134.31</v>
      </c>
      <c r="O30" s="19"/>
      <c r="P30" s="19">
        <v>134.31</v>
      </c>
      <c r="Q30" s="19"/>
      <c r="R30" s="19">
        <v>185.13</v>
      </c>
      <c r="S30" s="19"/>
      <c r="T30" s="15">
        <v>185.13</v>
      </c>
      <c r="U30" s="19"/>
      <c r="V30" s="19">
        <v>185.13</v>
      </c>
      <c r="W30" s="19"/>
      <c r="X30" s="19">
        <v>134.31</v>
      </c>
      <c r="Y30" s="19"/>
      <c r="Z30" s="19">
        <v>134.31</v>
      </c>
      <c r="AA30" s="19"/>
      <c r="AB30" s="19">
        <v>134.31</v>
      </c>
      <c r="AC30" s="19"/>
      <c r="AD30" s="19">
        <v>134.31</v>
      </c>
      <c r="AE30" s="19"/>
      <c r="AF30" s="19">
        <v>134.31</v>
      </c>
      <c r="AG30" s="19"/>
      <c r="AH30" s="19">
        <v>134.31</v>
      </c>
      <c r="AI30" s="19"/>
      <c r="AJ30" s="19">
        <v>134.31</v>
      </c>
      <c r="AK30" s="19"/>
      <c r="AL30" s="19">
        <v>134.31</v>
      </c>
      <c r="AM30" s="19"/>
      <c r="AN30" s="19">
        <v>134.31</v>
      </c>
      <c r="AO30" s="19"/>
      <c r="AP30" s="19">
        <v>185.13</v>
      </c>
      <c r="AQ30" s="19"/>
      <c r="AR30" s="19">
        <v>185.13</v>
      </c>
      <c r="AS30" s="19"/>
      <c r="AT30" s="19">
        <v>185.13</v>
      </c>
      <c r="AU30" s="19"/>
      <c r="AV30" s="19">
        <v>134.31</v>
      </c>
      <c r="AW30" s="19"/>
      <c r="AX30" s="19">
        <v>134.31</v>
      </c>
      <c r="AY30" s="19"/>
      <c r="AZ30" s="19">
        <v>134.31</v>
      </c>
      <c r="BA30" s="19"/>
      <c r="BB30" s="19">
        <v>134.31</v>
      </c>
      <c r="BC30" s="19"/>
      <c r="BD30" s="19"/>
      <c r="BE30" s="19"/>
      <c r="BF30" s="19"/>
      <c r="BG30" s="19"/>
    </row>
    <row r="31" spans="1:59" x14ac:dyDescent="0.25">
      <c r="A31" s="23">
        <v>2052766</v>
      </c>
      <c r="B31" s="11" t="s">
        <v>29</v>
      </c>
      <c r="C31" s="10">
        <v>59128</v>
      </c>
      <c r="D31" s="15">
        <v>2500000</v>
      </c>
      <c r="E31" s="15">
        <v>5000000</v>
      </c>
      <c r="F31" s="19">
        <v>444376.87</v>
      </c>
      <c r="G31" s="19"/>
      <c r="H31" s="19">
        <v>706235.79</v>
      </c>
      <c r="I31" s="19">
        <v>136.25</v>
      </c>
      <c r="J31" s="19">
        <v>422710.56</v>
      </c>
      <c r="K31" s="19">
        <v>21.62</v>
      </c>
      <c r="L31" s="19">
        <v>517818.83</v>
      </c>
      <c r="M31" s="19">
        <v>159.88</v>
      </c>
      <c r="N31" s="19">
        <v>690574.83</v>
      </c>
      <c r="O31" s="19"/>
      <c r="P31" s="19">
        <v>936973.27</v>
      </c>
      <c r="Q31" s="19">
        <v>150.36000000000001</v>
      </c>
      <c r="R31" s="19">
        <v>541465.51</v>
      </c>
      <c r="S31" s="19">
        <v>258.2</v>
      </c>
      <c r="T31" s="19">
        <v>923799.41</v>
      </c>
      <c r="U31" s="19"/>
      <c r="V31" s="19">
        <v>753686.86</v>
      </c>
      <c r="W31" s="19">
        <v>48.8</v>
      </c>
      <c r="X31" s="19">
        <v>710058.54</v>
      </c>
      <c r="Y31" s="19">
        <v>203.95</v>
      </c>
      <c r="Z31" s="19">
        <v>3912626.32</v>
      </c>
      <c r="AA31" s="19"/>
      <c r="AB31" s="19">
        <v>562252.85</v>
      </c>
      <c r="AC31" s="19">
        <v>111.29</v>
      </c>
      <c r="AD31" s="19">
        <v>746831.7</v>
      </c>
      <c r="AE31" s="19">
        <v>203.1</v>
      </c>
      <c r="AF31" s="19">
        <v>1104248.83</v>
      </c>
      <c r="AG31" s="19">
        <v>186.38</v>
      </c>
      <c r="AH31" s="19">
        <v>847517.01</v>
      </c>
      <c r="AI31" s="19">
        <v>66.680000000000007</v>
      </c>
      <c r="AJ31" s="19">
        <v>1074548.04</v>
      </c>
      <c r="AK31" s="19">
        <v>125.23</v>
      </c>
      <c r="AL31" s="19">
        <v>772838.87</v>
      </c>
      <c r="AM31" s="19"/>
      <c r="AN31" s="19">
        <v>931744.82</v>
      </c>
      <c r="AO31" s="19"/>
      <c r="AP31" s="19">
        <v>1210078.79</v>
      </c>
      <c r="AQ31" s="19"/>
      <c r="AR31" s="19">
        <v>1307250.8700000001</v>
      </c>
      <c r="AS31" s="19">
        <v>56.79</v>
      </c>
      <c r="AT31" s="19">
        <v>618783.76</v>
      </c>
      <c r="AU31" s="19">
        <v>173.89</v>
      </c>
      <c r="AV31" s="19">
        <v>601726.06999999995</v>
      </c>
      <c r="AW31" s="19">
        <v>41.99</v>
      </c>
      <c r="AX31" s="19">
        <v>1138404.8</v>
      </c>
      <c r="AY31" s="19">
        <v>389.79</v>
      </c>
      <c r="AZ31" s="19">
        <v>886355.17</v>
      </c>
      <c r="BA31" s="19">
        <v>133.19999999999999</v>
      </c>
      <c r="BB31" s="19">
        <v>1049083.1599999999</v>
      </c>
      <c r="BC31" s="19">
        <v>218.83</v>
      </c>
      <c r="BD31" s="19"/>
      <c r="BE31" s="19"/>
      <c r="BF31" s="19"/>
      <c r="BG31" s="19"/>
    </row>
    <row r="32" spans="1:59" x14ac:dyDescent="0.25">
      <c r="A32" s="23">
        <v>2738879</v>
      </c>
      <c r="B32" s="11" t="s">
        <v>30</v>
      </c>
      <c r="C32" s="10">
        <v>82141</v>
      </c>
      <c r="D32" s="15">
        <v>2000000</v>
      </c>
      <c r="E32" s="15">
        <v>4000000</v>
      </c>
      <c r="F32" s="19">
        <v>241034.39</v>
      </c>
      <c r="G32" s="19">
        <v>1.47</v>
      </c>
      <c r="H32" s="19">
        <v>299109.37</v>
      </c>
      <c r="I32" s="19">
        <v>1.89</v>
      </c>
      <c r="J32" s="19">
        <v>316229.14</v>
      </c>
      <c r="K32" s="19">
        <v>1.86</v>
      </c>
      <c r="L32" s="19">
        <v>355551.96</v>
      </c>
      <c r="M32" s="19">
        <v>101.8</v>
      </c>
      <c r="N32" s="19">
        <v>343729.8</v>
      </c>
      <c r="O32" s="19">
        <v>3.46</v>
      </c>
      <c r="P32" s="19">
        <v>361820.21</v>
      </c>
      <c r="Q32" s="19">
        <v>3.4</v>
      </c>
      <c r="R32" s="19">
        <v>383529.68</v>
      </c>
      <c r="S32" s="19">
        <v>18.309999999999999</v>
      </c>
      <c r="T32" s="19">
        <v>389455.85</v>
      </c>
      <c r="U32" s="15">
        <v>3.26</v>
      </c>
      <c r="V32" s="31">
        <v>-18305.919999999998</v>
      </c>
      <c r="W32" s="19">
        <v>3.19</v>
      </c>
      <c r="X32" s="32">
        <v>395004.53</v>
      </c>
      <c r="Y32" s="19">
        <v>3.13</v>
      </c>
      <c r="Z32" s="19">
        <v>489994.65</v>
      </c>
      <c r="AA32" s="19">
        <v>3.1</v>
      </c>
      <c r="AB32" s="32">
        <v>471975.42</v>
      </c>
      <c r="AC32" s="19">
        <v>8.69</v>
      </c>
      <c r="AD32" s="32">
        <v>465886.33</v>
      </c>
      <c r="AE32" s="19">
        <v>2.74</v>
      </c>
      <c r="AF32" s="32">
        <v>431296.46</v>
      </c>
      <c r="AG32" s="19">
        <v>17.16</v>
      </c>
      <c r="AH32" s="32">
        <v>488436.5</v>
      </c>
      <c r="AI32" s="19">
        <v>2.66</v>
      </c>
      <c r="AJ32" s="32">
        <v>484640.93</v>
      </c>
      <c r="AK32" s="19">
        <v>72.459999999999994</v>
      </c>
      <c r="AL32" s="32">
        <v>528349.87</v>
      </c>
      <c r="AM32" s="19">
        <v>17.21</v>
      </c>
      <c r="AN32" s="32">
        <v>446119.4</v>
      </c>
      <c r="AO32" s="19">
        <v>17.940000000000001</v>
      </c>
      <c r="AP32" s="32">
        <v>504796.06</v>
      </c>
      <c r="AQ32" s="19">
        <v>3.03</v>
      </c>
      <c r="AR32" s="32">
        <v>546846.98</v>
      </c>
      <c r="AS32" s="19">
        <v>20.68</v>
      </c>
      <c r="AT32" s="32">
        <v>476268.9</v>
      </c>
      <c r="AU32" s="19">
        <v>20.47</v>
      </c>
      <c r="AV32" s="32">
        <v>553264.35</v>
      </c>
      <c r="AW32" s="19">
        <v>3.08</v>
      </c>
      <c r="AX32" s="32">
        <v>541523.9</v>
      </c>
      <c r="AY32" s="19">
        <v>21.37</v>
      </c>
      <c r="AZ32" s="32">
        <v>662546.48</v>
      </c>
      <c r="BA32" s="19">
        <v>26.73</v>
      </c>
      <c r="BB32" s="32">
        <v>578843.32999999996</v>
      </c>
      <c r="BC32" s="19">
        <v>21.37</v>
      </c>
      <c r="BD32" s="32"/>
      <c r="BE32" s="19"/>
      <c r="BF32" s="32"/>
      <c r="BG32" s="19"/>
    </row>
    <row r="33" spans="1:59" x14ac:dyDescent="0.25">
      <c r="A33" s="23">
        <v>2929230</v>
      </c>
      <c r="B33" s="11" t="s">
        <v>31</v>
      </c>
      <c r="C33" s="10">
        <v>6702</v>
      </c>
      <c r="D33" s="15">
        <v>4000000</v>
      </c>
      <c r="E33" s="15">
        <v>12000000</v>
      </c>
      <c r="F33" s="19">
        <v>2466632.19</v>
      </c>
      <c r="G33" s="19">
        <v>17</v>
      </c>
      <c r="H33" s="19">
        <v>3954741.43</v>
      </c>
      <c r="I33" s="19">
        <v>179.17</v>
      </c>
      <c r="J33" s="19">
        <v>975608.9</v>
      </c>
      <c r="K33" s="19">
        <v>345.4</v>
      </c>
      <c r="L33" s="19">
        <v>2452566.88</v>
      </c>
      <c r="M33" s="19">
        <v>50.09</v>
      </c>
      <c r="N33" s="19">
        <v>1788381.14</v>
      </c>
      <c r="O33" s="19">
        <v>181.61</v>
      </c>
      <c r="P33" s="19">
        <v>3463871.94</v>
      </c>
      <c r="Q33" s="19">
        <v>344.75</v>
      </c>
      <c r="R33" s="19">
        <v>3637977.3</v>
      </c>
      <c r="S33" s="19">
        <v>17.87</v>
      </c>
      <c r="T33" s="19">
        <v>3294448.05</v>
      </c>
      <c r="U33" s="15">
        <v>198.98</v>
      </c>
      <c r="V33" s="32">
        <v>3510326.24</v>
      </c>
      <c r="W33" s="19">
        <v>568.12</v>
      </c>
      <c r="X33" s="32">
        <v>2758587.9</v>
      </c>
      <c r="Y33" s="19">
        <v>1120.02</v>
      </c>
      <c r="Z33" s="32">
        <v>3142405.6</v>
      </c>
      <c r="AA33" s="19">
        <v>203.14</v>
      </c>
      <c r="AB33" s="32">
        <v>3849577.29</v>
      </c>
      <c r="AC33" s="19">
        <v>208.86</v>
      </c>
      <c r="AD33" s="32">
        <v>2336153.96</v>
      </c>
      <c r="AE33" s="19">
        <v>41.52</v>
      </c>
      <c r="AF33" s="32">
        <v>2867319.03</v>
      </c>
      <c r="AG33" s="19">
        <v>40.74</v>
      </c>
      <c r="AH33" s="32">
        <v>2809432.41</v>
      </c>
      <c r="AI33" s="19">
        <v>20.52</v>
      </c>
      <c r="AJ33" s="32">
        <v>3070187.66</v>
      </c>
      <c r="AK33" s="19">
        <v>199.34</v>
      </c>
      <c r="AL33" s="32">
        <v>3259225.55</v>
      </c>
      <c r="AM33" s="19">
        <v>255.27</v>
      </c>
      <c r="AN33" s="32">
        <v>2733406.16</v>
      </c>
      <c r="AO33" s="19">
        <v>17.39</v>
      </c>
      <c r="AP33" s="32">
        <v>5583881.5999999996</v>
      </c>
      <c r="AQ33" s="19">
        <v>20.149999999999999</v>
      </c>
      <c r="AR33" s="32">
        <v>3226944.13</v>
      </c>
      <c r="AS33" s="19">
        <v>38.25</v>
      </c>
      <c r="AT33" s="32">
        <v>3443315.76</v>
      </c>
      <c r="AU33" s="19">
        <v>22.2</v>
      </c>
      <c r="AV33" s="32">
        <v>3349954.72</v>
      </c>
      <c r="AW33" s="19">
        <v>22.36</v>
      </c>
      <c r="AX33" s="32">
        <v>2913892.08</v>
      </c>
      <c r="AY33" s="19">
        <v>22.7</v>
      </c>
      <c r="AZ33" s="32">
        <v>3885614.23</v>
      </c>
      <c r="BA33" s="19">
        <v>22.97</v>
      </c>
      <c r="BB33" s="32">
        <v>3203491.37</v>
      </c>
      <c r="BC33" s="19">
        <v>21.93</v>
      </c>
      <c r="BD33" s="32"/>
      <c r="BE33" s="19"/>
      <c r="BF33" s="32"/>
      <c r="BG33" s="19"/>
    </row>
    <row r="34" spans="1:59" x14ac:dyDescent="0.25">
      <c r="A34" s="8">
        <v>2993216</v>
      </c>
      <c r="B34" s="11" t="s">
        <v>32</v>
      </c>
      <c r="C34" s="10">
        <v>54434</v>
      </c>
      <c r="D34" s="15">
        <v>10000</v>
      </c>
      <c r="E34" s="15">
        <v>20000</v>
      </c>
      <c r="F34" s="19">
        <v>134.31</v>
      </c>
      <c r="G34" s="19"/>
      <c r="H34" s="19">
        <v>134.31</v>
      </c>
      <c r="I34" s="19"/>
      <c r="J34" s="19">
        <v>134.31</v>
      </c>
      <c r="K34" s="19"/>
      <c r="L34" s="19" t="s">
        <v>79</v>
      </c>
      <c r="M34" s="19"/>
      <c r="N34" s="31">
        <v>-771.42</v>
      </c>
      <c r="O34" s="19"/>
      <c r="P34" s="31">
        <v>-637.11</v>
      </c>
      <c r="Q34" s="19"/>
      <c r="R34" s="31">
        <v>-139.80000000000001</v>
      </c>
      <c r="S34" s="19"/>
      <c r="T34" s="19">
        <v>357.51</v>
      </c>
      <c r="V34" s="32">
        <v>896.66</v>
      </c>
      <c r="W34" s="19"/>
      <c r="X34" s="32">
        <v>1119.53</v>
      </c>
      <c r="Y34" s="19"/>
      <c r="Z34" s="32">
        <v>1347.08</v>
      </c>
      <c r="AA34" s="19"/>
      <c r="AB34" s="32">
        <v>135.53</v>
      </c>
      <c r="AC34" s="19"/>
      <c r="AD34" s="32">
        <v>135.53</v>
      </c>
      <c r="AE34" s="19"/>
      <c r="AF34" s="32">
        <v>282.79000000000002</v>
      </c>
      <c r="AG34" s="19"/>
      <c r="AH34" s="32">
        <v>299.33</v>
      </c>
      <c r="AI34" s="19"/>
      <c r="AJ34" s="32">
        <v>143.04</v>
      </c>
      <c r="AK34" s="19"/>
      <c r="AL34" s="32">
        <v>136.19</v>
      </c>
      <c r="AM34" s="19"/>
      <c r="AN34" s="32">
        <v>134.31</v>
      </c>
      <c r="AO34" s="19"/>
      <c r="AP34" s="32">
        <v>497.31</v>
      </c>
      <c r="AQ34" s="19"/>
      <c r="AR34" s="32">
        <v>497.31</v>
      </c>
      <c r="AS34" s="19"/>
      <c r="AT34" s="32">
        <v>497.31</v>
      </c>
      <c r="AU34" s="19"/>
      <c r="AV34" s="32">
        <v>134.31</v>
      </c>
      <c r="AW34" s="19"/>
      <c r="AX34" s="32">
        <v>134.31</v>
      </c>
      <c r="AY34" s="19"/>
      <c r="AZ34" s="32">
        <v>134.31</v>
      </c>
      <c r="BA34" s="19"/>
      <c r="BB34" s="32">
        <v>134.31</v>
      </c>
      <c r="BC34" s="19"/>
      <c r="BD34" s="32"/>
      <c r="BE34" s="19"/>
      <c r="BF34" s="32"/>
      <c r="BG34" s="19"/>
    </row>
    <row r="35" spans="1:59" x14ac:dyDescent="0.25">
      <c r="A35" s="8">
        <v>2993217</v>
      </c>
      <c r="B35" s="11" t="s">
        <v>33</v>
      </c>
      <c r="C35" s="10">
        <v>23008</v>
      </c>
      <c r="D35" s="15">
        <v>600000</v>
      </c>
      <c r="E35" s="15">
        <v>1200000</v>
      </c>
      <c r="F35" s="19">
        <v>11812.64</v>
      </c>
      <c r="G35" s="19"/>
      <c r="H35" s="19">
        <v>1024.6300000000001</v>
      </c>
      <c r="I35" s="19"/>
      <c r="J35" s="19">
        <v>1271.4000000000001</v>
      </c>
      <c r="K35" s="19"/>
      <c r="L35" s="19">
        <v>1512.37</v>
      </c>
      <c r="M35" s="19"/>
      <c r="N35" s="31">
        <v>-1651.15</v>
      </c>
      <c r="O35" s="19"/>
      <c r="P35" s="31">
        <v>-1516.84</v>
      </c>
      <c r="Q35" s="19"/>
      <c r="R35" s="31">
        <v>-1019.53</v>
      </c>
      <c r="S35" s="19"/>
      <c r="T35" s="15">
        <v>4828.04</v>
      </c>
      <c r="U35" s="19">
        <v>17.34</v>
      </c>
      <c r="V35" s="19">
        <v>26053.65</v>
      </c>
      <c r="W35" s="19"/>
      <c r="X35" s="19">
        <v>950.84</v>
      </c>
      <c r="Y35" s="19"/>
      <c r="Z35" s="19">
        <v>1111.1199999999999</v>
      </c>
      <c r="AA35" s="19"/>
      <c r="AB35" s="19">
        <v>45.43</v>
      </c>
      <c r="AC35" s="19"/>
      <c r="AD35" s="19">
        <v>184.08</v>
      </c>
      <c r="AE35" s="19"/>
      <c r="AF35" s="19">
        <v>335.66</v>
      </c>
      <c r="AG35" s="19"/>
      <c r="AH35" s="19">
        <v>-48.21</v>
      </c>
      <c r="AI35" s="19"/>
      <c r="AJ35" s="19">
        <v>86.1</v>
      </c>
      <c r="AK35" s="19"/>
      <c r="AL35" s="19">
        <v>135.49</v>
      </c>
      <c r="AM35" s="19"/>
      <c r="AN35" s="19">
        <v>134.31</v>
      </c>
      <c r="AO35" s="19"/>
      <c r="AP35" s="19">
        <v>497.31</v>
      </c>
      <c r="AQ35" s="19"/>
      <c r="AR35" s="19">
        <v>57497.31</v>
      </c>
      <c r="AS35" s="19"/>
      <c r="AT35" s="19">
        <v>57497.31</v>
      </c>
      <c r="AU35" s="19"/>
      <c r="AV35" s="19">
        <v>156745.26999999999</v>
      </c>
      <c r="AW35" s="19"/>
      <c r="AX35" s="19">
        <v>134.31</v>
      </c>
      <c r="AY35" s="19"/>
      <c r="AZ35" s="19">
        <v>134.31</v>
      </c>
      <c r="BA35" s="19"/>
      <c r="BB35" s="19">
        <v>134.31</v>
      </c>
      <c r="BC35" s="19"/>
      <c r="BD35" s="19"/>
      <c r="BE35" s="19"/>
      <c r="BF35" s="19"/>
      <c r="BG35" s="19"/>
    </row>
    <row r="36" spans="1:59" x14ac:dyDescent="0.25">
      <c r="A36" s="8">
        <v>2993218</v>
      </c>
      <c r="B36" s="11" t="s">
        <v>34</v>
      </c>
      <c r="C36" s="10">
        <v>7810</v>
      </c>
      <c r="D36" s="15">
        <v>450000</v>
      </c>
      <c r="E36" s="15">
        <v>900000</v>
      </c>
      <c r="F36" s="19">
        <v>48824.4</v>
      </c>
      <c r="G36" s="19"/>
      <c r="H36" s="19">
        <v>73549.63</v>
      </c>
      <c r="I36" s="19"/>
      <c r="J36" s="19">
        <v>124592.99</v>
      </c>
      <c r="K36" s="19"/>
      <c r="L36" s="19">
        <v>181793.64</v>
      </c>
      <c r="M36" s="19"/>
      <c r="N36" s="19">
        <v>56416.18</v>
      </c>
      <c r="O36" s="19"/>
      <c r="P36" s="19">
        <v>55728.46</v>
      </c>
      <c r="Q36" s="19"/>
      <c r="R36" s="19">
        <v>128258.08</v>
      </c>
      <c r="S36" s="19"/>
      <c r="T36" s="15">
        <v>418584.75</v>
      </c>
      <c r="U36" s="19"/>
      <c r="V36" s="19">
        <v>548189.66</v>
      </c>
      <c r="W36" s="19"/>
      <c r="X36" s="19">
        <v>52763.21</v>
      </c>
      <c r="Y36" s="19"/>
      <c r="Z36" s="19">
        <v>72097.039999999994</v>
      </c>
      <c r="AA36" s="19"/>
      <c r="AB36" s="19">
        <v>93548.65</v>
      </c>
      <c r="AC36" s="19"/>
      <c r="AD36" s="19">
        <v>240929.35</v>
      </c>
      <c r="AE36" s="19"/>
      <c r="AF36" s="19">
        <v>106609.81</v>
      </c>
      <c r="AG36" s="19"/>
      <c r="AH36" s="19">
        <v>88903.44</v>
      </c>
      <c r="AI36" s="19"/>
      <c r="AJ36" s="19">
        <v>56532.78</v>
      </c>
      <c r="AK36" s="19"/>
      <c r="AL36" s="19">
        <v>73702.78</v>
      </c>
      <c r="AM36" s="19">
        <v>36.979999999999997</v>
      </c>
      <c r="AN36" s="19">
        <v>59207.07</v>
      </c>
      <c r="AO36" s="19"/>
      <c r="AP36" s="19">
        <v>60894.77</v>
      </c>
      <c r="AQ36" s="19"/>
      <c r="AR36" s="19">
        <v>114857.89</v>
      </c>
      <c r="AS36" s="19"/>
      <c r="AT36" s="19">
        <v>94171.11</v>
      </c>
      <c r="AU36" s="19"/>
      <c r="AV36" s="19">
        <v>97776.29</v>
      </c>
      <c r="AW36" s="19"/>
      <c r="AX36" s="19">
        <v>72965.63</v>
      </c>
      <c r="AY36" s="19"/>
      <c r="AZ36" s="19">
        <v>71345.55</v>
      </c>
      <c r="BA36" s="19"/>
      <c r="BB36" s="19">
        <v>155761.49</v>
      </c>
      <c r="BC36" s="19"/>
      <c r="BD36" s="19"/>
      <c r="BE36" s="19"/>
      <c r="BF36" s="19"/>
      <c r="BG36" s="19"/>
    </row>
    <row r="37" spans="1:59" x14ac:dyDescent="0.25">
      <c r="A37" s="8">
        <v>2993228</v>
      </c>
      <c r="B37" s="9" t="s">
        <v>35</v>
      </c>
      <c r="C37" s="10">
        <v>131</v>
      </c>
      <c r="D37" s="15">
        <v>800000</v>
      </c>
      <c r="E37" s="15">
        <v>1600000</v>
      </c>
      <c r="F37" s="19">
        <v>53018.92</v>
      </c>
      <c r="G37" s="19"/>
      <c r="H37" s="19">
        <v>56989.52</v>
      </c>
      <c r="I37" s="19"/>
      <c r="J37" s="19">
        <v>57315.6</v>
      </c>
      <c r="K37" s="19"/>
      <c r="L37" s="19">
        <v>62520.65</v>
      </c>
      <c r="M37" s="19"/>
      <c r="N37" s="19">
        <v>65616.399999999994</v>
      </c>
      <c r="O37" s="19"/>
      <c r="P37" s="19">
        <v>66309.73</v>
      </c>
      <c r="Q37" s="19"/>
      <c r="R37" s="19">
        <v>44296.75</v>
      </c>
      <c r="S37" s="19"/>
      <c r="T37" s="15">
        <v>100346.27</v>
      </c>
      <c r="U37" s="19"/>
      <c r="V37" s="19">
        <v>90984.93</v>
      </c>
      <c r="W37" s="19"/>
      <c r="X37" s="19">
        <v>91970.96</v>
      </c>
      <c r="Y37" s="19"/>
      <c r="Z37" s="19">
        <v>90717.7</v>
      </c>
      <c r="AA37" s="19"/>
      <c r="AB37" s="19">
        <v>94908.38</v>
      </c>
      <c r="AC37" s="19"/>
      <c r="AD37" s="19">
        <v>64319.42</v>
      </c>
      <c r="AE37" s="19"/>
      <c r="AF37" s="19">
        <v>123590.9</v>
      </c>
      <c r="AG37" s="19"/>
      <c r="AH37" s="19">
        <v>96054.9</v>
      </c>
      <c r="AI37" s="19"/>
      <c r="AJ37" s="19">
        <v>99874.16</v>
      </c>
      <c r="AK37" s="19"/>
      <c r="AL37" s="19">
        <v>135018.51999999999</v>
      </c>
      <c r="AM37" s="19"/>
      <c r="AN37" s="19">
        <v>103511.2</v>
      </c>
      <c r="AO37" s="19"/>
      <c r="AP37" s="19">
        <v>104436.57</v>
      </c>
      <c r="AQ37" s="19"/>
      <c r="AR37" s="19">
        <v>116111.33</v>
      </c>
      <c r="AS37" s="19"/>
      <c r="AT37" s="19">
        <v>117303.03999999999</v>
      </c>
      <c r="AU37" s="19"/>
      <c r="AV37" s="19">
        <v>118517.71</v>
      </c>
      <c r="AW37" s="19"/>
      <c r="AX37" s="19">
        <v>174718.49</v>
      </c>
      <c r="AY37" s="19">
        <v>115.18</v>
      </c>
      <c r="AZ37" s="19">
        <v>144643.43</v>
      </c>
      <c r="BA37" s="19"/>
      <c r="BB37" s="19">
        <v>176224.03</v>
      </c>
      <c r="BC37" s="19"/>
      <c r="BD37" s="19"/>
      <c r="BE37" s="19"/>
      <c r="BF37" s="19"/>
      <c r="BG37" s="19"/>
    </row>
    <row r="38" spans="1:59" x14ac:dyDescent="0.25">
      <c r="A38" s="8">
        <v>2993231</v>
      </c>
      <c r="B38" s="9" t="s">
        <v>36</v>
      </c>
      <c r="C38" s="10">
        <v>490</v>
      </c>
      <c r="D38" s="15">
        <v>110000</v>
      </c>
      <c r="E38" s="15">
        <v>220000</v>
      </c>
      <c r="F38" s="19">
        <v>15422.63</v>
      </c>
      <c r="G38" s="19"/>
      <c r="H38" s="19">
        <v>15422.63</v>
      </c>
      <c r="I38" s="19"/>
      <c r="J38" s="19">
        <v>15422.63</v>
      </c>
      <c r="K38" s="19"/>
      <c r="L38" s="19">
        <v>15422.63</v>
      </c>
      <c r="M38" s="19"/>
      <c r="N38" s="19">
        <v>15422.63</v>
      </c>
      <c r="O38" s="19"/>
      <c r="P38" s="19">
        <v>15422.63</v>
      </c>
      <c r="Q38" s="19"/>
      <c r="R38" s="19">
        <v>15428.05</v>
      </c>
      <c r="S38" s="19"/>
      <c r="T38" s="15">
        <v>14652.13</v>
      </c>
      <c r="U38" s="19"/>
      <c r="V38" s="19">
        <v>14652.13</v>
      </c>
      <c r="W38" s="19"/>
      <c r="X38" s="19">
        <v>20384.71</v>
      </c>
      <c r="Y38" s="19"/>
      <c r="Z38" s="19">
        <v>20384.71</v>
      </c>
      <c r="AA38" s="19"/>
      <c r="AB38" s="19">
        <v>-614.07000000000005</v>
      </c>
      <c r="AC38" s="19"/>
      <c r="AD38" s="19">
        <v>6677.46</v>
      </c>
      <c r="AE38" s="19">
        <v>11.86</v>
      </c>
      <c r="AF38" s="19">
        <v>20573.7</v>
      </c>
      <c r="AG38" s="19"/>
      <c r="AH38" s="19">
        <v>20384.71</v>
      </c>
      <c r="AI38" s="19"/>
      <c r="AJ38" s="19">
        <v>24159.71</v>
      </c>
      <c r="AK38" s="19"/>
      <c r="AL38" s="19">
        <v>8908.2000000000007</v>
      </c>
      <c r="AM38" s="19">
        <v>11.81</v>
      </c>
      <c r="AN38" s="19">
        <v>8084.06</v>
      </c>
      <c r="AO38" s="19">
        <v>10.78</v>
      </c>
      <c r="AP38" s="19">
        <v>8718.16</v>
      </c>
      <c r="AQ38" s="19">
        <v>11.23</v>
      </c>
      <c r="AR38" s="19">
        <v>30443.67</v>
      </c>
      <c r="AS38" s="19"/>
      <c r="AT38" s="19">
        <v>10630.22</v>
      </c>
      <c r="AU38" s="19">
        <v>13.95</v>
      </c>
      <c r="AV38" s="19">
        <v>10665.68</v>
      </c>
      <c r="AW38" s="19">
        <v>14.65</v>
      </c>
      <c r="AX38" s="19">
        <v>30095.14</v>
      </c>
      <c r="AY38" s="19"/>
      <c r="AZ38" s="19">
        <v>10253.16</v>
      </c>
      <c r="BA38" s="19">
        <v>14.45</v>
      </c>
      <c r="BB38" s="19">
        <v>10759.07</v>
      </c>
      <c r="BC38" s="19">
        <v>14.35</v>
      </c>
      <c r="BD38" s="19"/>
      <c r="BE38" s="19"/>
      <c r="BF38" s="19"/>
      <c r="BG38" s="19"/>
    </row>
    <row r="39" spans="1:59" x14ac:dyDescent="0.25">
      <c r="A39" s="8">
        <v>2993232</v>
      </c>
      <c r="B39" s="11" t="s">
        <v>37</v>
      </c>
      <c r="C39" s="10">
        <v>14998</v>
      </c>
      <c r="D39" s="15">
        <v>3500000</v>
      </c>
      <c r="E39" s="15">
        <v>7000000</v>
      </c>
      <c r="F39" s="19">
        <v>361718.9</v>
      </c>
      <c r="G39" s="19"/>
      <c r="H39" s="19">
        <v>304190.14</v>
      </c>
      <c r="I39" s="19"/>
      <c r="J39" s="19">
        <v>504524.87</v>
      </c>
      <c r="K39" s="19"/>
      <c r="L39" s="19">
        <v>389836.13</v>
      </c>
      <c r="M39" s="19"/>
      <c r="N39" s="19">
        <v>487224.13</v>
      </c>
      <c r="O39" s="19"/>
      <c r="P39" s="19">
        <v>309004.39</v>
      </c>
      <c r="Q39" s="19"/>
      <c r="R39" s="19">
        <v>429559.86</v>
      </c>
      <c r="S39" s="19"/>
      <c r="T39" s="19">
        <v>507839.52</v>
      </c>
      <c r="U39" s="19"/>
      <c r="V39" s="19">
        <v>534520.07999999996</v>
      </c>
      <c r="W39" s="19"/>
      <c r="X39" s="19">
        <v>475496.29</v>
      </c>
      <c r="Y39" s="19">
        <v>9.9</v>
      </c>
      <c r="Z39" s="19">
        <v>446845.35</v>
      </c>
      <c r="AA39" s="19"/>
      <c r="AB39" s="19">
        <v>520084.43</v>
      </c>
      <c r="AC39" s="19"/>
      <c r="AD39" s="19">
        <v>745824.73</v>
      </c>
      <c r="AE39" s="19"/>
      <c r="AF39" s="19">
        <v>1088842.68</v>
      </c>
      <c r="AG39" s="19"/>
      <c r="AH39" s="19">
        <v>859443.05</v>
      </c>
      <c r="AI39" s="19">
        <v>0.2</v>
      </c>
      <c r="AJ39" s="19">
        <v>676419.65</v>
      </c>
      <c r="AK39" s="19">
        <v>1.83</v>
      </c>
      <c r="AL39" s="19">
        <v>729597.7</v>
      </c>
      <c r="AM39" s="19">
        <v>1.84</v>
      </c>
      <c r="AN39" s="19">
        <v>439588.39</v>
      </c>
      <c r="AO39" s="19">
        <v>2.3199999999999998</v>
      </c>
      <c r="AP39" s="19">
        <v>719516.47</v>
      </c>
      <c r="AQ39" s="19">
        <v>128.75</v>
      </c>
      <c r="AR39" s="19">
        <v>911335.85</v>
      </c>
      <c r="AS39" s="19">
        <v>2.27</v>
      </c>
      <c r="AT39" s="19">
        <v>1139180.25</v>
      </c>
      <c r="AU39" s="19">
        <v>4.1900000000000004</v>
      </c>
      <c r="AV39" s="19">
        <v>638445.37</v>
      </c>
      <c r="AW39" s="19">
        <v>32.229999999999997</v>
      </c>
      <c r="AX39" s="19">
        <v>1353128.8</v>
      </c>
      <c r="AY39" s="19"/>
      <c r="AZ39" s="19">
        <v>913430.9</v>
      </c>
      <c r="BA39" s="19">
        <v>2.4500000000000002</v>
      </c>
      <c r="BB39" s="19">
        <v>648788.93000000005</v>
      </c>
      <c r="BC39" s="19">
        <v>2.36</v>
      </c>
      <c r="BD39" s="19"/>
      <c r="BE39" s="19"/>
      <c r="BF39" s="19"/>
      <c r="BG39" s="19"/>
    </row>
    <row r="40" spans="1:59" x14ac:dyDescent="0.25">
      <c r="A40" s="8">
        <v>2993234</v>
      </c>
      <c r="B40" s="9" t="s">
        <v>38</v>
      </c>
      <c r="C40" s="10">
        <v>49</v>
      </c>
      <c r="D40" s="15">
        <v>600000</v>
      </c>
      <c r="E40" s="15">
        <v>1200000</v>
      </c>
      <c r="F40" s="19">
        <v>93395</v>
      </c>
      <c r="G40" s="19"/>
      <c r="H40" s="19">
        <v>94795</v>
      </c>
      <c r="I40" s="19"/>
      <c r="J40" s="19">
        <v>96412</v>
      </c>
      <c r="K40" s="19"/>
      <c r="L40" s="19">
        <v>44718.81</v>
      </c>
      <c r="M40" s="19"/>
      <c r="N40" s="19">
        <v>46508</v>
      </c>
      <c r="O40" s="19"/>
      <c r="P40" s="19">
        <v>49298.2</v>
      </c>
      <c r="Q40" s="19"/>
      <c r="R40" s="19">
        <v>74702.83</v>
      </c>
      <c r="S40" s="19"/>
      <c r="T40" s="15">
        <v>45738.42</v>
      </c>
      <c r="U40" s="19"/>
      <c r="V40" s="19">
        <v>46835.22</v>
      </c>
      <c r="W40" s="19"/>
      <c r="X40" s="19">
        <v>47673.599999999999</v>
      </c>
      <c r="Y40" s="19"/>
      <c r="Z40" s="19">
        <v>56620.2</v>
      </c>
      <c r="AA40" s="19"/>
      <c r="AB40" s="19">
        <v>57866.2</v>
      </c>
      <c r="AC40" s="19"/>
      <c r="AD40" s="19">
        <v>59718.39</v>
      </c>
      <c r="AE40" s="19"/>
      <c r="AF40" s="19">
        <v>88042</v>
      </c>
      <c r="AG40" s="19"/>
      <c r="AH40" s="19">
        <v>63294</v>
      </c>
      <c r="AI40" s="19"/>
      <c r="AJ40" s="19">
        <v>64496.6</v>
      </c>
      <c r="AK40" s="19"/>
      <c r="AL40" s="19">
        <v>148013.93</v>
      </c>
      <c r="AM40" s="19"/>
      <c r="AN40" s="19">
        <v>82033.33</v>
      </c>
      <c r="AO40" s="19"/>
      <c r="AP40" s="19">
        <v>274315.76</v>
      </c>
      <c r="AQ40" s="19"/>
      <c r="AR40" s="19">
        <v>71343.41</v>
      </c>
      <c r="AS40" s="19">
        <v>21.2</v>
      </c>
      <c r="AT40" s="19">
        <v>97193.01</v>
      </c>
      <c r="AU40" s="19">
        <v>-19.95</v>
      </c>
      <c r="AV40" s="19">
        <v>76339.199999999997</v>
      </c>
      <c r="AW40" s="19"/>
      <c r="AX40" s="19">
        <v>78476.990000000005</v>
      </c>
      <c r="AY40" s="19"/>
      <c r="AZ40" s="19">
        <v>80910.19</v>
      </c>
      <c r="BA40" s="19"/>
      <c r="BB40" s="19">
        <v>119053.98</v>
      </c>
      <c r="BC40" s="19"/>
      <c r="BD40" s="19"/>
      <c r="BE40" s="19"/>
      <c r="BF40" s="19"/>
      <c r="BG40" s="19"/>
    </row>
    <row r="41" spans="1:59" s="37" customFormat="1" x14ac:dyDescent="0.25">
      <c r="A41" s="26">
        <v>2993235</v>
      </c>
      <c r="B41" s="27" t="s">
        <v>39</v>
      </c>
      <c r="C41" s="28">
        <v>902</v>
      </c>
      <c r="D41" s="29"/>
      <c r="E41" s="29"/>
      <c r="F41" s="30">
        <v>63550.04</v>
      </c>
      <c r="G41" s="30"/>
      <c r="H41" s="30">
        <v>93644.45</v>
      </c>
      <c r="I41" s="30"/>
      <c r="J41" s="30">
        <v>137265.32999999999</v>
      </c>
      <c r="K41" s="30"/>
      <c r="L41" s="30">
        <v>23165.33</v>
      </c>
      <c r="M41" s="30"/>
      <c r="N41" s="30">
        <v>54272.35</v>
      </c>
      <c r="O41" s="30"/>
      <c r="P41" s="30">
        <v>123597.47</v>
      </c>
      <c r="Q41" s="30"/>
      <c r="R41" s="30">
        <v>17492.89</v>
      </c>
      <c r="S41" s="30"/>
      <c r="T41" s="29">
        <v>82158.47</v>
      </c>
      <c r="U41" s="30"/>
      <c r="V41" s="30">
        <v>131492.09</v>
      </c>
      <c r="W41" s="30"/>
      <c r="X41" s="30">
        <v>10610.09</v>
      </c>
      <c r="Y41" s="30"/>
      <c r="Z41" s="30">
        <v>55536.28</v>
      </c>
      <c r="AA41" s="30"/>
      <c r="AB41" s="30">
        <v>219521.44</v>
      </c>
      <c r="AC41" s="30"/>
      <c r="AD41" s="30">
        <v>120434.94</v>
      </c>
      <c r="AE41" s="30"/>
      <c r="AF41" s="30">
        <v>186332.74</v>
      </c>
      <c r="AG41" s="30"/>
      <c r="AH41" s="30">
        <v>131580.09</v>
      </c>
      <c r="AI41" s="30"/>
      <c r="AJ41" s="30">
        <v>177789.45</v>
      </c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1:59" x14ac:dyDescent="0.25">
      <c r="A42" s="12">
        <v>2993241</v>
      </c>
      <c r="B42" s="13" t="s">
        <v>40</v>
      </c>
      <c r="C42" s="14">
        <v>3833</v>
      </c>
      <c r="D42" s="15">
        <v>3000000</v>
      </c>
      <c r="E42" s="15">
        <v>6000000</v>
      </c>
      <c r="F42" s="19">
        <v>162375.26</v>
      </c>
      <c r="G42" s="19"/>
      <c r="H42" s="19">
        <v>66306</v>
      </c>
      <c r="I42" s="19"/>
      <c r="J42" s="19">
        <v>98496.9</v>
      </c>
      <c r="K42" s="19"/>
      <c r="L42" s="19">
        <v>102320.9</v>
      </c>
      <c r="M42" s="19"/>
      <c r="N42" s="19">
        <v>108266</v>
      </c>
      <c r="O42" s="19"/>
      <c r="P42" s="19">
        <v>112250</v>
      </c>
      <c r="Q42" s="19"/>
      <c r="R42" s="19">
        <v>116152.42</v>
      </c>
      <c r="S42" s="19"/>
      <c r="T42" s="15">
        <v>119522.42</v>
      </c>
      <c r="U42" s="19"/>
      <c r="V42" s="19">
        <v>125756.32</v>
      </c>
      <c r="W42" s="19"/>
      <c r="X42" s="19">
        <v>139176.1</v>
      </c>
      <c r="Y42" s="19"/>
      <c r="Z42" s="19">
        <v>142420.1</v>
      </c>
      <c r="AA42" s="19"/>
      <c r="AB42" s="19">
        <v>145197.1</v>
      </c>
      <c r="AC42" s="19"/>
      <c r="AD42" s="19">
        <v>151580.6</v>
      </c>
      <c r="AE42" s="19"/>
      <c r="AF42" s="19">
        <v>155999.79999999999</v>
      </c>
      <c r="AG42" s="19"/>
      <c r="AH42" s="19">
        <v>159198.79999999999</v>
      </c>
      <c r="AI42" s="19"/>
      <c r="AJ42" s="19">
        <v>161340.79999999999</v>
      </c>
      <c r="AK42" s="19"/>
      <c r="AL42" s="19">
        <v>165175.1</v>
      </c>
      <c r="AM42" s="19"/>
      <c r="AN42" s="19">
        <v>19120.400000000001</v>
      </c>
      <c r="AO42" s="19"/>
      <c r="AP42" s="19">
        <v>170880.82</v>
      </c>
      <c r="AQ42" s="19"/>
      <c r="AR42" s="19">
        <v>174499.82</v>
      </c>
      <c r="AS42" s="19"/>
      <c r="AT42" s="19">
        <v>184517.42</v>
      </c>
      <c r="AU42" s="19"/>
      <c r="AV42" s="19">
        <v>199376.1</v>
      </c>
      <c r="AW42" s="19"/>
      <c r="AX42" s="19">
        <v>204524.1</v>
      </c>
      <c r="AY42" s="19"/>
      <c r="AZ42" s="19">
        <v>209497.1</v>
      </c>
      <c r="BA42" s="19"/>
      <c r="BB42" s="19">
        <v>217123.5</v>
      </c>
      <c r="BC42" s="19"/>
      <c r="BD42" s="19"/>
      <c r="BE42" s="19"/>
      <c r="BF42" s="19"/>
      <c r="BG42" s="19"/>
    </row>
    <row r="43" spans="1:59" x14ac:dyDescent="0.25">
      <c r="A43" s="8">
        <v>2993244</v>
      </c>
      <c r="B43" s="11" t="s">
        <v>41</v>
      </c>
      <c r="C43" s="10">
        <v>2021</v>
      </c>
      <c r="D43" s="15">
        <v>4000000</v>
      </c>
      <c r="E43" s="15">
        <v>8000000</v>
      </c>
      <c r="F43" s="19">
        <v>208821.99</v>
      </c>
      <c r="G43" s="19">
        <v>1.93</v>
      </c>
      <c r="H43" s="19">
        <v>293043.87</v>
      </c>
      <c r="I43" s="19">
        <v>1.89</v>
      </c>
      <c r="J43" s="19">
        <v>290394.05</v>
      </c>
      <c r="K43" s="19">
        <v>1.86</v>
      </c>
      <c r="L43" s="19">
        <v>295526.46999999997</v>
      </c>
      <c r="M43" s="19">
        <v>1.82</v>
      </c>
      <c r="N43" s="19">
        <v>439445.56</v>
      </c>
      <c r="O43" s="19">
        <v>3.46</v>
      </c>
      <c r="P43" s="19">
        <v>318336.45</v>
      </c>
      <c r="Q43" s="19">
        <v>3.4</v>
      </c>
      <c r="R43" s="19">
        <v>291120.61</v>
      </c>
      <c r="S43" s="19">
        <v>3.32</v>
      </c>
      <c r="T43" s="15">
        <v>500175.35999999999</v>
      </c>
      <c r="U43" s="19">
        <v>3.26</v>
      </c>
      <c r="V43" s="19">
        <v>523548.86</v>
      </c>
      <c r="W43" s="19">
        <v>3.2</v>
      </c>
      <c r="X43" s="19">
        <v>224553.86</v>
      </c>
      <c r="Y43" s="19">
        <v>3.13</v>
      </c>
      <c r="Z43" s="19">
        <v>308922.11</v>
      </c>
      <c r="AA43" s="19">
        <v>3.1</v>
      </c>
      <c r="AB43" s="19">
        <v>555305.17000000004</v>
      </c>
      <c r="AC43" s="19">
        <v>117.87</v>
      </c>
      <c r="AD43" s="19">
        <v>204338.58</v>
      </c>
      <c r="AE43" s="19">
        <v>2.81</v>
      </c>
      <c r="AF43" s="19">
        <v>479849.86</v>
      </c>
      <c r="AG43" s="19">
        <v>2.79</v>
      </c>
      <c r="AH43" s="19">
        <v>468795.75</v>
      </c>
      <c r="AI43" s="19">
        <v>2.66</v>
      </c>
      <c r="AJ43" s="19">
        <v>475310.1</v>
      </c>
      <c r="AK43" s="19">
        <v>14.91</v>
      </c>
      <c r="AL43" s="19">
        <v>504176.2</v>
      </c>
      <c r="AM43" s="19">
        <v>3.14</v>
      </c>
      <c r="AN43" s="19">
        <v>1044404.35</v>
      </c>
      <c r="AO43" s="19">
        <v>3.09</v>
      </c>
      <c r="AP43" s="19">
        <v>934851.08</v>
      </c>
      <c r="AQ43" s="19">
        <v>3</v>
      </c>
      <c r="AR43" s="19">
        <v>1491929.14</v>
      </c>
      <c r="AS43" s="19">
        <v>3.05</v>
      </c>
      <c r="AT43" s="19">
        <v>622073.61</v>
      </c>
      <c r="AU43" s="19">
        <v>2.99</v>
      </c>
      <c r="AV43" s="19">
        <v>1762659.7</v>
      </c>
      <c r="AW43" s="19">
        <v>3.04</v>
      </c>
      <c r="AX43" s="19">
        <v>789037.76</v>
      </c>
      <c r="AY43" s="19">
        <v>3.14</v>
      </c>
      <c r="AZ43" s="19">
        <v>1166510.6499999999</v>
      </c>
      <c r="BA43" s="19">
        <v>3.17</v>
      </c>
      <c r="BB43" s="19">
        <v>669387.14</v>
      </c>
      <c r="BC43" s="19">
        <v>3.15</v>
      </c>
      <c r="BD43" s="19"/>
      <c r="BE43" s="19"/>
      <c r="BF43" s="19"/>
      <c r="BG43" s="19"/>
    </row>
    <row r="44" spans="1:59" x14ac:dyDescent="0.25">
      <c r="A44" s="8">
        <v>2993248</v>
      </c>
      <c r="B44" s="9" t="s">
        <v>42</v>
      </c>
      <c r="C44" s="10">
        <v>13377</v>
      </c>
      <c r="D44" s="15">
        <v>3500000</v>
      </c>
      <c r="E44" s="15">
        <v>7000000</v>
      </c>
      <c r="F44" s="19">
        <v>317419.93</v>
      </c>
      <c r="G44" s="19"/>
      <c r="H44" s="19">
        <v>336964.59</v>
      </c>
      <c r="I44" s="19"/>
      <c r="J44" s="19">
        <v>359029.11</v>
      </c>
      <c r="K44" s="19"/>
      <c r="L44" s="19">
        <v>393547.38</v>
      </c>
      <c r="M44" s="19"/>
      <c r="N44" s="19">
        <v>397883.9</v>
      </c>
      <c r="O44" s="19"/>
      <c r="P44" s="19">
        <v>416829.93</v>
      </c>
      <c r="Q44" s="19"/>
      <c r="R44" s="19">
        <v>399514.17</v>
      </c>
      <c r="S44" s="19"/>
      <c r="T44" s="19">
        <v>669342.59</v>
      </c>
      <c r="U44" s="15">
        <v>12.07</v>
      </c>
      <c r="V44" s="19">
        <v>729940.68</v>
      </c>
      <c r="W44" s="19">
        <v>7</v>
      </c>
      <c r="X44" s="19">
        <v>552638.27</v>
      </c>
      <c r="Y44" s="19">
        <v>26.94</v>
      </c>
      <c r="Z44" s="19">
        <v>193172.82</v>
      </c>
      <c r="AA44" s="19">
        <v>73.89</v>
      </c>
      <c r="AB44" s="19">
        <v>169492.16</v>
      </c>
      <c r="AC44" s="19">
        <v>113.55</v>
      </c>
      <c r="AD44" s="19">
        <v>134427.51999999999</v>
      </c>
      <c r="AE44" s="19">
        <v>76.67</v>
      </c>
      <c r="AF44" s="19">
        <v>149941.42000000001</v>
      </c>
      <c r="AG44" s="19">
        <v>6.56</v>
      </c>
      <c r="AH44" s="19">
        <v>745779.77</v>
      </c>
      <c r="AI44" s="19">
        <v>1197.67</v>
      </c>
      <c r="AJ44" s="19">
        <v>446545.56</v>
      </c>
      <c r="AK44" s="19">
        <v>610.92999999999995</v>
      </c>
      <c r="AL44" s="19">
        <v>187507.61</v>
      </c>
      <c r="AM44" s="19">
        <v>14.14</v>
      </c>
      <c r="AN44" s="19">
        <v>266657.03000000003</v>
      </c>
      <c r="AO44" s="19">
        <v>13.69</v>
      </c>
      <c r="AP44" s="19">
        <v>280127.23</v>
      </c>
      <c r="AQ44" s="19">
        <v>36.79</v>
      </c>
      <c r="AR44" s="19">
        <v>262838.62</v>
      </c>
      <c r="AS44" s="19">
        <v>52.77</v>
      </c>
      <c r="AT44" s="19">
        <v>303641.65000000002</v>
      </c>
      <c r="AU44" s="19">
        <v>57.81</v>
      </c>
      <c r="AV44" s="19">
        <v>283690.76</v>
      </c>
      <c r="AW44" s="19">
        <v>45.91</v>
      </c>
      <c r="AX44" s="19">
        <v>242876.32</v>
      </c>
      <c r="AY44" s="19">
        <v>21.97</v>
      </c>
      <c r="AZ44" s="19">
        <v>31087.46</v>
      </c>
      <c r="BA44" s="19">
        <v>13.93</v>
      </c>
      <c r="BB44" s="19">
        <v>32763.06</v>
      </c>
      <c r="BC44" s="19">
        <v>13.92</v>
      </c>
      <c r="BD44" s="19"/>
      <c r="BE44" s="19"/>
      <c r="BF44" s="19"/>
      <c r="BG44" s="19"/>
    </row>
    <row r="45" spans="1:59" x14ac:dyDescent="0.25">
      <c r="A45" s="8">
        <v>2993250</v>
      </c>
      <c r="B45" s="9" t="s">
        <v>43</v>
      </c>
      <c r="C45" s="10">
        <v>2366</v>
      </c>
      <c r="D45" s="15">
        <v>2750000</v>
      </c>
      <c r="E45" s="15">
        <v>5500000</v>
      </c>
      <c r="F45" s="19">
        <v>251141.13</v>
      </c>
      <c r="G45" s="19"/>
      <c r="H45" s="19">
        <v>546563.53</v>
      </c>
      <c r="I45" s="19">
        <v>1.45</v>
      </c>
      <c r="J45" s="19">
        <v>641422.68999999994</v>
      </c>
      <c r="K45" s="19">
        <v>2.81</v>
      </c>
      <c r="L45" s="19">
        <v>478762.02</v>
      </c>
      <c r="M45" s="19"/>
      <c r="N45" s="19">
        <v>492154.68</v>
      </c>
      <c r="O45" s="19">
        <v>1.37</v>
      </c>
      <c r="P45" s="19">
        <v>719456.19</v>
      </c>
      <c r="Q45" s="19">
        <v>2.58</v>
      </c>
      <c r="R45" s="19">
        <v>645026.17000000004</v>
      </c>
      <c r="S45" s="19">
        <v>0.04</v>
      </c>
      <c r="T45" s="19">
        <v>711457.28000000003</v>
      </c>
      <c r="U45" s="15">
        <v>0.04</v>
      </c>
      <c r="V45" s="19">
        <v>504703.93</v>
      </c>
      <c r="W45" s="19">
        <v>2.42</v>
      </c>
      <c r="X45" s="19">
        <v>926809.93</v>
      </c>
      <c r="Y45" s="19">
        <v>2.38</v>
      </c>
      <c r="Z45" s="19">
        <v>587949.05000000005</v>
      </c>
      <c r="AA45" s="19">
        <v>256.13</v>
      </c>
      <c r="AB45" s="19">
        <v>1144082.25</v>
      </c>
      <c r="AC45" s="19">
        <v>2.33</v>
      </c>
      <c r="AD45" s="19">
        <v>462485.77</v>
      </c>
      <c r="AE45" s="19">
        <v>2.14</v>
      </c>
      <c r="AF45" s="19">
        <v>689474.64</v>
      </c>
      <c r="AG45" s="19">
        <v>2.08</v>
      </c>
      <c r="AH45" s="19">
        <v>800019.22</v>
      </c>
      <c r="AI45" s="19">
        <v>5.09</v>
      </c>
      <c r="AJ45" s="19">
        <v>542083.67000000004</v>
      </c>
      <c r="AK45" s="19">
        <v>4.84</v>
      </c>
      <c r="AL45" s="19">
        <v>355713.54</v>
      </c>
      <c r="AM45" s="19">
        <v>2.39</v>
      </c>
      <c r="AN45" s="19">
        <v>383655.78</v>
      </c>
      <c r="AO45" s="19">
        <v>2.99</v>
      </c>
      <c r="AP45" s="19">
        <v>387316.6</v>
      </c>
      <c r="AQ45" s="19">
        <v>19.63</v>
      </c>
      <c r="AR45" s="19">
        <v>906213.8</v>
      </c>
      <c r="AS45" s="19">
        <v>32.9</v>
      </c>
      <c r="AT45" s="19">
        <v>423145.04</v>
      </c>
      <c r="AU45" s="19">
        <v>15.46</v>
      </c>
      <c r="AV45" s="19">
        <v>373516.94</v>
      </c>
      <c r="AW45" s="19">
        <v>15.63</v>
      </c>
      <c r="AX45" s="19">
        <v>430979.87</v>
      </c>
      <c r="AY45" s="19">
        <v>15.97</v>
      </c>
      <c r="AZ45" s="19">
        <v>535166.6</v>
      </c>
      <c r="BA45" s="19">
        <v>16.239999999999998</v>
      </c>
      <c r="BB45" s="19">
        <v>97762.06</v>
      </c>
      <c r="BC45" s="19">
        <v>16.260000000000002</v>
      </c>
      <c r="BD45" s="19"/>
      <c r="BE45" s="19"/>
      <c r="BF45" s="19"/>
      <c r="BG45" s="19"/>
    </row>
    <row r="46" spans="1:59" x14ac:dyDescent="0.25">
      <c r="A46" s="8">
        <v>2996331</v>
      </c>
      <c r="B46" s="11" t="s">
        <v>44</v>
      </c>
      <c r="C46" s="10">
        <v>59859</v>
      </c>
      <c r="D46" s="15">
        <v>150000</v>
      </c>
      <c r="E46" s="15">
        <v>300000</v>
      </c>
      <c r="F46" s="19">
        <v>80974.429999999993</v>
      </c>
      <c r="G46" s="19"/>
      <c r="H46" s="19">
        <v>98976.23</v>
      </c>
      <c r="I46" s="19"/>
      <c r="J46" s="19">
        <v>109432.04</v>
      </c>
      <c r="K46" s="19"/>
      <c r="L46" s="19">
        <v>173591.69</v>
      </c>
      <c r="M46" s="19"/>
      <c r="N46" s="19">
        <v>136821.14000000001</v>
      </c>
      <c r="O46" s="19"/>
      <c r="P46" s="19">
        <v>102599.08</v>
      </c>
      <c r="Q46" s="19"/>
      <c r="R46" s="19">
        <v>130178.1</v>
      </c>
      <c r="S46" s="19"/>
      <c r="T46" s="19">
        <v>35949.879999999997</v>
      </c>
      <c r="U46" s="15"/>
      <c r="V46" s="19">
        <v>113710.75</v>
      </c>
      <c r="W46" s="19"/>
      <c r="X46" s="19">
        <v>2486.21</v>
      </c>
      <c r="Y46" s="19"/>
      <c r="Z46" s="19">
        <v>73807.72</v>
      </c>
      <c r="AA46" s="19"/>
      <c r="AB46" s="19">
        <v>73096.100000000006</v>
      </c>
      <c r="AC46" s="19"/>
      <c r="AD46" s="19">
        <v>152093.82</v>
      </c>
      <c r="AE46" s="19"/>
      <c r="AF46" s="19">
        <v>166220.65</v>
      </c>
      <c r="AG46" s="19"/>
      <c r="AH46" s="19">
        <v>132184.69</v>
      </c>
      <c r="AI46" s="19"/>
      <c r="AJ46" s="19">
        <v>92200.89</v>
      </c>
      <c r="AK46" s="19"/>
      <c r="AL46" s="19">
        <v>19305.900000000001</v>
      </c>
      <c r="AM46" s="19"/>
      <c r="AN46" s="19">
        <v>115514.14</v>
      </c>
      <c r="AO46" s="19"/>
      <c r="AP46" s="19">
        <v>87731.87</v>
      </c>
      <c r="AQ46" s="19"/>
      <c r="AR46" s="19">
        <v>15143.88</v>
      </c>
      <c r="AS46" s="19"/>
      <c r="AT46" s="19">
        <v>100807.32</v>
      </c>
      <c r="AU46" s="19"/>
      <c r="AV46" s="19">
        <v>109829.35</v>
      </c>
      <c r="AW46" s="19"/>
      <c r="AX46" s="19">
        <v>33027.11</v>
      </c>
      <c r="AY46" s="19"/>
      <c r="AZ46" s="19">
        <v>93366.19</v>
      </c>
      <c r="BA46" s="19"/>
      <c r="BB46" s="19">
        <v>102385.41</v>
      </c>
      <c r="BC46" s="19"/>
      <c r="BD46" s="19"/>
      <c r="BE46" s="19"/>
      <c r="BF46" s="19"/>
      <c r="BG46" s="19"/>
    </row>
    <row r="47" spans="1:59" x14ac:dyDescent="0.25">
      <c r="A47" s="8">
        <v>2996332</v>
      </c>
      <c r="B47" s="9" t="s">
        <v>4</v>
      </c>
      <c r="C47" s="10">
        <v>6665</v>
      </c>
      <c r="D47" s="15">
        <v>3000000</v>
      </c>
      <c r="E47" s="15">
        <v>6000000</v>
      </c>
      <c r="F47" s="19">
        <v>839305.04</v>
      </c>
      <c r="G47" s="19"/>
      <c r="H47" s="19">
        <v>673183.25</v>
      </c>
      <c r="I47" s="19"/>
      <c r="J47" s="19">
        <v>1111205.08</v>
      </c>
      <c r="K47" s="19"/>
      <c r="L47" s="19">
        <v>835625.32</v>
      </c>
      <c r="M47" s="19"/>
      <c r="N47" s="19">
        <v>900447.65</v>
      </c>
      <c r="O47" s="19"/>
      <c r="P47" s="19">
        <v>1190326.67</v>
      </c>
      <c r="Q47" s="19"/>
      <c r="R47" s="19">
        <v>887738.39</v>
      </c>
      <c r="S47" s="19"/>
      <c r="T47" s="15">
        <v>6965964.8499999996</v>
      </c>
      <c r="U47" s="19">
        <v>376</v>
      </c>
      <c r="V47" s="19">
        <v>1186094.3400000001</v>
      </c>
      <c r="W47" s="19">
        <v>691.69</v>
      </c>
      <c r="X47" s="19">
        <v>2303411.29</v>
      </c>
      <c r="Y47" s="19">
        <v>1</v>
      </c>
      <c r="Z47" s="19">
        <v>1975734.5</v>
      </c>
      <c r="AA47" s="19">
        <v>2012.51</v>
      </c>
      <c r="AB47" s="19">
        <v>1204892.52</v>
      </c>
      <c r="AC47" s="19">
        <v>93.99</v>
      </c>
      <c r="AD47" s="19">
        <v>980378.35</v>
      </c>
      <c r="AE47" s="19"/>
      <c r="AF47" s="19">
        <v>909557.56</v>
      </c>
      <c r="AG47" s="19">
        <v>8.4</v>
      </c>
      <c r="AH47" s="19">
        <v>2237401.9900000002</v>
      </c>
      <c r="AI47" s="19"/>
      <c r="AJ47" s="19">
        <v>1433836.29</v>
      </c>
      <c r="AK47" s="19"/>
      <c r="AL47" s="19">
        <v>1219515.07</v>
      </c>
      <c r="AM47" s="19">
        <v>5.99</v>
      </c>
      <c r="AN47" s="19">
        <v>1570526.81</v>
      </c>
      <c r="AO47" s="19">
        <v>31.69</v>
      </c>
      <c r="AP47" s="19">
        <v>1463732.47</v>
      </c>
      <c r="AQ47" s="19">
        <v>8.42</v>
      </c>
      <c r="AR47" s="19">
        <v>3692841.49</v>
      </c>
      <c r="AS47" s="19">
        <v>1</v>
      </c>
      <c r="AT47" s="19">
        <v>3658499.14</v>
      </c>
      <c r="AU47" s="19">
        <v>1299.28</v>
      </c>
      <c r="AV47" s="19">
        <v>1759960.28</v>
      </c>
      <c r="AW47" s="19">
        <v>-0.72</v>
      </c>
      <c r="AX47" s="19">
        <v>3524301.42</v>
      </c>
      <c r="AY47" s="19">
        <v>4216.5</v>
      </c>
      <c r="AZ47" s="19">
        <v>2452202.04</v>
      </c>
      <c r="BA47" s="19">
        <v>2597.6</v>
      </c>
      <c r="BB47" s="19">
        <v>1376419.88</v>
      </c>
      <c r="BC47" s="19">
        <v>10.77</v>
      </c>
      <c r="BD47" s="19"/>
      <c r="BE47" s="19"/>
      <c r="BF47" s="19"/>
      <c r="BG47" s="19"/>
    </row>
    <row r="48" spans="1:59" x14ac:dyDescent="0.25">
      <c r="A48" s="8">
        <v>3099355</v>
      </c>
      <c r="B48" s="11" t="s">
        <v>45</v>
      </c>
      <c r="C48" s="10">
        <v>54311</v>
      </c>
      <c r="D48" s="15">
        <v>1000000</v>
      </c>
      <c r="E48" s="15">
        <v>2000000</v>
      </c>
      <c r="F48" s="19">
        <v>152499.01999999999</v>
      </c>
      <c r="G48" s="19"/>
      <c r="H48" s="19">
        <v>84979.03</v>
      </c>
      <c r="I48" s="19"/>
      <c r="J48" s="19">
        <v>142488.9</v>
      </c>
      <c r="K48" s="19"/>
      <c r="L48" s="19">
        <v>92467.19</v>
      </c>
      <c r="M48" s="19"/>
      <c r="N48" s="19">
        <v>167199.14000000001</v>
      </c>
      <c r="O48" s="19"/>
      <c r="P48" s="19">
        <v>163140.69</v>
      </c>
      <c r="Q48" s="19"/>
      <c r="R48" s="19">
        <v>162094.18</v>
      </c>
      <c r="S48" s="19"/>
      <c r="T48" s="19">
        <v>173860.82</v>
      </c>
      <c r="U48" s="15"/>
      <c r="V48" s="19">
        <v>182899.07</v>
      </c>
      <c r="W48" s="19"/>
      <c r="X48" s="19">
        <v>106191.14</v>
      </c>
      <c r="Y48" s="19"/>
      <c r="Z48" s="19">
        <v>132223.17000000001</v>
      </c>
      <c r="AA48" s="19"/>
      <c r="AB48" s="19">
        <v>156424.31</v>
      </c>
      <c r="AC48" s="19"/>
      <c r="AD48" s="19">
        <v>178869.18</v>
      </c>
      <c r="AE48" s="19"/>
      <c r="AF48" s="19">
        <v>253810.11</v>
      </c>
      <c r="AG48" s="19"/>
      <c r="AH48" s="19">
        <v>208639.03</v>
      </c>
      <c r="AI48" s="19"/>
      <c r="AJ48" s="19">
        <v>251036.89</v>
      </c>
      <c r="AK48" s="19"/>
      <c r="AL48" s="19">
        <v>268098.69</v>
      </c>
      <c r="AM48" s="19"/>
      <c r="AN48" s="19">
        <v>334322.7</v>
      </c>
      <c r="AO48" s="19"/>
      <c r="AP48" s="19">
        <v>298066.17</v>
      </c>
      <c r="AQ48" s="19"/>
      <c r="AR48" s="19">
        <v>407367.52</v>
      </c>
      <c r="AS48" s="19"/>
      <c r="AT48" s="19">
        <v>355072.12</v>
      </c>
      <c r="AU48" s="19"/>
      <c r="AV48" s="19">
        <v>486753.55</v>
      </c>
      <c r="AW48" s="19"/>
      <c r="AX48" s="19">
        <v>505812.32</v>
      </c>
      <c r="AY48" s="19"/>
      <c r="AZ48" s="19">
        <v>739708.35</v>
      </c>
      <c r="BA48" s="19"/>
      <c r="BB48" s="19">
        <v>453462.98</v>
      </c>
      <c r="BC48" s="19"/>
      <c r="BD48" s="19"/>
      <c r="BE48" s="19"/>
      <c r="BF48" s="19"/>
      <c r="BG48" s="19"/>
    </row>
    <row r="49" spans="1:59" s="37" customFormat="1" x14ac:dyDescent="0.25">
      <c r="A49" s="26">
        <v>3117655</v>
      </c>
      <c r="B49" s="27" t="s">
        <v>46</v>
      </c>
      <c r="C49" s="28">
        <v>53974</v>
      </c>
      <c r="D49" s="29"/>
      <c r="E49" s="29"/>
      <c r="F49" s="30">
        <v>17958</v>
      </c>
      <c r="G49" s="30"/>
      <c r="H49" s="30">
        <v>1304.2</v>
      </c>
      <c r="I49" s="30"/>
      <c r="J49" s="30">
        <v>14003.63</v>
      </c>
      <c r="K49" s="30"/>
      <c r="L49" s="30" t="s">
        <v>80</v>
      </c>
      <c r="M49" s="30"/>
      <c r="N49" s="30">
        <v>5853.51</v>
      </c>
      <c r="O49" s="30">
        <v>7.15</v>
      </c>
      <c r="P49" s="30">
        <v>15789.83</v>
      </c>
      <c r="Q49" s="30"/>
      <c r="R49" s="30">
        <v>2560.1799999999998</v>
      </c>
      <c r="S49" s="30"/>
      <c r="T49" s="29">
        <v>2912.38</v>
      </c>
      <c r="U49" s="30"/>
      <c r="V49" s="30">
        <v>3324.22</v>
      </c>
      <c r="W49" s="30"/>
      <c r="X49" s="30">
        <v>584.04</v>
      </c>
      <c r="Y49" s="30"/>
      <c r="Z49" s="30">
        <v>481.35</v>
      </c>
      <c r="AA49" s="30"/>
      <c r="AB49" s="30">
        <v>503.55</v>
      </c>
      <c r="AC49" s="30"/>
      <c r="AD49" s="30" t="s">
        <v>74</v>
      </c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</row>
    <row r="50" spans="1:59" x14ac:dyDescent="0.25">
      <c r="A50" s="8">
        <v>3437057</v>
      </c>
      <c r="B50" s="11" t="s">
        <v>47</v>
      </c>
      <c r="C50" s="10">
        <v>19542</v>
      </c>
      <c r="D50" s="15">
        <v>2000000</v>
      </c>
      <c r="E50" s="15">
        <v>4000000</v>
      </c>
      <c r="F50" s="19">
        <v>343753.2</v>
      </c>
      <c r="G50" s="19"/>
      <c r="H50" s="19">
        <v>696636.85</v>
      </c>
      <c r="I50" s="19"/>
      <c r="J50" s="19">
        <v>421789.57</v>
      </c>
      <c r="K50" s="19"/>
      <c r="L50" s="19">
        <v>501639.83</v>
      </c>
      <c r="M50" s="19"/>
      <c r="N50" s="19">
        <v>855330.44</v>
      </c>
      <c r="O50" s="19"/>
      <c r="P50" s="19">
        <v>379558.66</v>
      </c>
      <c r="Q50" s="19"/>
      <c r="R50" s="19">
        <v>616118.06999999995</v>
      </c>
      <c r="S50" s="19"/>
      <c r="T50" s="15">
        <v>407115.02</v>
      </c>
      <c r="U50" s="19"/>
      <c r="V50" s="19">
        <v>850815.29</v>
      </c>
      <c r="W50" s="19"/>
      <c r="X50" s="19">
        <v>426790.17</v>
      </c>
      <c r="Y50" s="19"/>
      <c r="Z50" s="19">
        <v>1115136.02</v>
      </c>
      <c r="AA50" s="19">
        <v>32.99</v>
      </c>
      <c r="AB50" s="19">
        <v>953951.94</v>
      </c>
      <c r="AC50" s="19"/>
      <c r="AD50" s="19">
        <v>781488.58</v>
      </c>
      <c r="AE50" s="19"/>
      <c r="AF50" s="19">
        <v>1111373.2</v>
      </c>
      <c r="AG50" s="19"/>
      <c r="AH50" s="19">
        <v>1076223.47</v>
      </c>
      <c r="AI50" s="19"/>
      <c r="AJ50" s="19">
        <v>1038976.8</v>
      </c>
      <c r="AK50" s="19"/>
      <c r="AL50" s="19">
        <v>1653385.95</v>
      </c>
      <c r="AM50" s="19"/>
      <c r="AN50" s="19">
        <v>931143.31</v>
      </c>
      <c r="AO50" s="19"/>
      <c r="AP50" s="19">
        <v>1761301.31</v>
      </c>
      <c r="AQ50" s="19">
        <v>14.61</v>
      </c>
      <c r="AR50" s="19">
        <v>1570640.11</v>
      </c>
      <c r="AS50" s="19"/>
      <c r="AT50" s="19">
        <v>653515.51</v>
      </c>
      <c r="AU50" s="19"/>
      <c r="AV50" s="19">
        <v>1237298.8400000001</v>
      </c>
      <c r="AW50" s="19"/>
      <c r="AX50" s="19">
        <v>979536.61</v>
      </c>
      <c r="AY50" s="19">
        <v>48.99</v>
      </c>
      <c r="AZ50" s="19">
        <v>1268756.27</v>
      </c>
      <c r="BA50" s="19"/>
      <c r="BB50" s="19">
        <v>790675.25</v>
      </c>
      <c r="BC50" s="19"/>
      <c r="BD50" s="19"/>
      <c r="BE50" s="19"/>
      <c r="BF50" s="19"/>
      <c r="BG50" s="19"/>
    </row>
    <row r="51" spans="1:59" x14ac:dyDescent="0.25">
      <c r="A51" s="8">
        <v>3603141</v>
      </c>
      <c r="B51" s="9" t="s">
        <v>48</v>
      </c>
      <c r="C51" s="8">
        <v>82400</v>
      </c>
      <c r="D51" s="15">
        <v>250000</v>
      </c>
      <c r="E51" s="15">
        <v>500000</v>
      </c>
      <c r="F51" s="19">
        <v>134.31</v>
      </c>
      <c r="G51" s="19"/>
      <c r="H51" s="19">
        <v>134.31</v>
      </c>
      <c r="I51" s="19"/>
      <c r="J51" s="19">
        <v>134.31</v>
      </c>
      <c r="K51" s="19"/>
      <c r="L51" s="19">
        <v>134.31</v>
      </c>
      <c r="M51" s="19"/>
      <c r="N51" s="19">
        <v>134.31</v>
      </c>
      <c r="O51" s="19"/>
      <c r="P51" s="19">
        <v>134.31</v>
      </c>
      <c r="Q51" s="19"/>
      <c r="R51" s="19">
        <v>497.31</v>
      </c>
      <c r="S51" s="19"/>
      <c r="T51" s="19">
        <v>497.31</v>
      </c>
      <c r="U51" s="19"/>
      <c r="V51" s="19">
        <v>497.31</v>
      </c>
      <c r="W51" s="19"/>
      <c r="X51" s="19">
        <v>134.31</v>
      </c>
      <c r="Y51" s="19"/>
      <c r="Z51" s="19">
        <v>134.31</v>
      </c>
      <c r="AA51" s="19"/>
      <c r="AB51" s="19">
        <v>134.31</v>
      </c>
      <c r="AC51" s="19"/>
      <c r="AD51" s="19">
        <v>134.31</v>
      </c>
      <c r="AE51" s="19"/>
      <c r="AF51" s="19">
        <v>134.31</v>
      </c>
      <c r="AG51" s="19"/>
      <c r="AH51" s="19">
        <v>134.31</v>
      </c>
      <c r="AI51" s="19"/>
      <c r="AJ51" s="19">
        <v>134.31</v>
      </c>
      <c r="AK51" s="19"/>
      <c r="AL51" s="19">
        <v>134.31</v>
      </c>
      <c r="AM51" s="19"/>
      <c r="AN51" s="19">
        <v>134.31</v>
      </c>
      <c r="AO51" s="19"/>
      <c r="AP51" s="19">
        <v>497.31</v>
      </c>
      <c r="AQ51" s="19"/>
      <c r="AR51" s="19">
        <v>497.31</v>
      </c>
      <c r="AS51" s="19"/>
      <c r="AT51" s="19">
        <v>497.31</v>
      </c>
      <c r="AU51" s="19"/>
      <c r="AV51" s="19">
        <v>134.31</v>
      </c>
      <c r="AW51" s="19"/>
      <c r="AX51" s="19">
        <v>134.31</v>
      </c>
      <c r="AY51" s="19"/>
      <c r="AZ51" s="19">
        <v>134.31</v>
      </c>
      <c r="BA51" s="19"/>
      <c r="BB51" s="19">
        <v>134.31</v>
      </c>
      <c r="BC51" s="19"/>
      <c r="BD51" s="19"/>
      <c r="BE51" s="19"/>
      <c r="BF51" s="19"/>
      <c r="BG51" s="19"/>
    </row>
    <row r="52" spans="1:59" x14ac:dyDescent="0.25">
      <c r="A52" s="8">
        <v>5220342</v>
      </c>
      <c r="B52" s="11" t="s">
        <v>49</v>
      </c>
      <c r="C52" s="10">
        <v>17980</v>
      </c>
      <c r="D52" s="15">
        <v>1200000</v>
      </c>
      <c r="E52" s="15">
        <v>2400000</v>
      </c>
      <c r="F52" s="19">
        <v>63880</v>
      </c>
      <c r="G52" s="19"/>
      <c r="H52" s="19">
        <v>69474</v>
      </c>
      <c r="I52" s="19"/>
      <c r="J52" s="19">
        <v>71250</v>
      </c>
      <c r="K52" s="19"/>
      <c r="L52" s="19">
        <v>78130</v>
      </c>
      <c r="M52" s="19"/>
      <c r="N52" s="19">
        <v>78135.42</v>
      </c>
      <c r="O52" s="19"/>
      <c r="P52" s="19">
        <v>78135.42</v>
      </c>
      <c r="Q52" s="19"/>
      <c r="R52" s="19">
        <v>94060.42</v>
      </c>
      <c r="S52" s="19"/>
      <c r="T52" s="19">
        <v>77945</v>
      </c>
      <c r="U52" s="19"/>
      <c r="V52" s="19">
        <v>100575.75</v>
      </c>
      <c r="W52" s="19">
        <v>0.01</v>
      </c>
      <c r="X52" s="19">
        <v>89251.68</v>
      </c>
      <c r="Y52" s="19"/>
      <c r="Z52" s="19">
        <v>90240</v>
      </c>
      <c r="AA52" s="19"/>
      <c r="AB52" s="19">
        <v>98100</v>
      </c>
      <c r="AC52" s="19"/>
      <c r="AD52" s="19">
        <v>95060</v>
      </c>
      <c r="AE52" s="19"/>
      <c r="AF52" s="19">
        <v>98100</v>
      </c>
      <c r="AG52" s="19"/>
      <c r="AH52" s="19">
        <v>108930</v>
      </c>
      <c r="AI52" s="19"/>
      <c r="AJ52" s="19">
        <v>108930</v>
      </c>
      <c r="AK52" s="19"/>
      <c r="AL52" s="19">
        <v>225235.42</v>
      </c>
      <c r="AM52" s="19"/>
      <c r="AN52" s="19">
        <v>5.42</v>
      </c>
      <c r="AO52" s="19"/>
      <c r="AP52" s="19">
        <v>116305.42</v>
      </c>
      <c r="AQ52" s="19"/>
      <c r="AR52" s="19">
        <v>116300</v>
      </c>
      <c r="AS52" s="19"/>
      <c r="AT52" s="19">
        <v>128190</v>
      </c>
      <c r="AU52" s="19"/>
      <c r="AV52" s="19">
        <v>128190</v>
      </c>
      <c r="AW52" s="19"/>
      <c r="AX52" s="19">
        <v>128190</v>
      </c>
      <c r="AY52" s="19"/>
      <c r="AZ52" s="19">
        <v>143000</v>
      </c>
      <c r="BA52" s="19"/>
      <c r="BB52" s="19">
        <v>143000</v>
      </c>
      <c r="BC52" s="19"/>
      <c r="BD52" s="19"/>
      <c r="BE52" s="19"/>
      <c r="BF52" s="19"/>
      <c r="BG52" s="19"/>
    </row>
    <row r="53" spans="1:59" x14ac:dyDescent="0.25">
      <c r="A53" s="8">
        <v>5800573</v>
      </c>
      <c r="B53" s="11" t="s">
        <v>50</v>
      </c>
      <c r="C53" s="10">
        <v>54516</v>
      </c>
      <c r="D53" s="15">
        <v>2000000</v>
      </c>
      <c r="E53" s="15">
        <v>4000000</v>
      </c>
      <c r="F53" s="19">
        <v>767052.74</v>
      </c>
      <c r="G53" s="19">
        <v>37.549999999999997</v>
      </c>
      <c r="H53" s="19">
        <v>528561.79</v>
      </c>
      <c r="I53" s="19">
        <v>43.18</v>
      </c>
      <c r="J53" s="19">
        <v>835361.97</v>
      </c>
      <c r="K53" s="19">
        <v>47.1</v>
      </c>
      <c r="L53" s="19">
        <v>885865.5</v>
      </c>
      <c r="M53" s="19">
        <v>23.19</v>
      </c>
      <c r="N53" s="19">
        <v>754794.14</v>
      </c>
      <c r="O53" s="19">
        <v>23.19</v>
      </c>
      <c r="P53" s="19">
        <v>936282.86</v>
      </c>
      <c r="Q53" s="19">
        <v>23.19</v>
      </c>
      <c r="R53" s="19">
        <v>950813.97</v>
      </c>
      <c r="S53" s="19">
        <v>23.19</v>
      </c>
      <c r="T53" s="19">
        <v>1362980.11</v>
      </c>
      <c r="U53" s="15">
        <v>23.19</v>
      </c>
      <c r="V53" s="19">
        <v>1365749.22</v>
      </c>
      <c r="W53" s="19">
        <v>23.19</v>
      </c>
      <c r="X53" s="19">
        <v>1371953.77</v>
      </c>
      <c r="Y53" s="19">
        <v>4.1900000000000004</v>
      </c>
      <c r="Z53" s="19">
        <v>2038163.64</v>
      </c>
      <c r="AA53" s="19">
        <v>4.1900000000000004</v>
      </c>
      <c r="AB53" s="19">
        <v>887802.35</v>
      </c>
      <c r="AC53" s="19">
        <v>4.1900000000000004</v>
      </c>
      <c r="AD53" s="19">
        <v>965128.66</v>
      </c>
      <c r="AE53" s="19">
        <v>4.1900000000000004</v>
      </c>
      <c r="AF53" s="19">
        <v>1210405.6599999999</v>
      </c>
      <c r="AG53" s="19">
        <v>4.1900000000000004</v>
      </c>
      <c r="AH53" s="19">
        <v>1369878.51</v>
      </c>
      <c r="AI53" s="19">
        <v>25.92</v>
      </c>
      <c r="AJ53" s="19">
        <v>1555702.64</v>
      </c>
      <c r="AK53" s="19">
        <v>18.170000000000002</v>
      </c>
      <c r="AL53" s="19">
        <v>1907879.26</v>
      </c>
      <c r="AM53" s="19">
        <v>8.98</v>
      </c>
      <c r="AN53" s="19">
        <v>1958260.31</v>
      </c>
      <c r="AO53" s="19">
        <v>8.9700000000000006</v>
      </c>
      <c r="AP53" s="19">
        <v>1671532.59</v>
      </c>
      <c r="AQ53" s="19">
        <v>9</v>
      </c>
      <c r="AR53" s="19">
        <v>1536594.65</v>
      </c>
      <c r="AS53" s="19">
        <v>8.92</v>
      </c>
      <c r="AT53" s="19">
        <v>1362662.44</v>
      </c>
      <c r="AU53" s="19">
        <v>19.28</v>
      </c>
      <c r="AV53" s="19">
        <v>1407498.36</v>
      </c>
      <c r="AW53" s="19">
        <v>19.829999999999998</v>
      </c>
      <c r="AX53" s="19">
        <v>1045723.84</v>
      </c>
      <c r="AY53" s="19">
        <v>112.81</v>
      </c>
      <c r="AZ53" s="19">
        <v>1185605.6499999999</v>
      </c>
      <c r="BA53" s="19">
        <v>53.66</v>
      </c>
      <c r="BB53" s="19">
        <v>1553651.1</v>
      </c>
      <c r="BC53" s="19">
        <v>102.92</v>
      </c>
      <c r="BD53" s="19"/>
      <c r="BE53" s="19"/>
      <c r="BF53" s="19"/>
      <c r="BG53" s="19"/>
    </row>
    <row r="54" spans="1:59" x14ac:dyDescent="0.25">
      <c r="A54" s="8">
        <v>6572231</v>
      </c>
      <c r="B54" s="9" t="s">
        <v>51</v>
      </c>
      <c r="C54" s="10">
        <v>54541</v>
      </c>
      <c r="D54" s="15">
        <v>2000000</v>
      </c>
      <c r="E54" s="15">
        <v>4000000</v>
      </c>
      <c r="F54" s="19">
        <v>622257.37</v>
      </c>
      <c r="G54" s="19">
        <v>14.67</v>
      </c>
      <c r="H54" s="19">
        <v>820597.12</v>
      </c>
      <c r="I54" s="19">
        <v>3.03</v>
      </c>
      <c r="J54" s="19">
        <v>1207918.1200000001</v>
      </c>
      <c r="K54" s="19">
        <v>2.54</v>
      </c>
      <c r="L54" s="19">
        <v>888042.38</v>
      </c>
      <c r="M54" s="19">
        <v>18.86</v>
      </c>
      <c r="N54" s="19">
        <v>870052.43</v>
      </c>
      <c r="O54" s="19">
        <v>3.96</v>
      </c>
      <c r="P54" s="19">
        <v>1154509.42</v>
      </c>
      <c r="Q54" s="19">
        <v>17.079999999999998</v>
      </c>
      <c r="R54" s="19">
        <v>1250903.05</v>
      </c>
      <c r="S54" s="19">
        <v>378.88</v>
      </c>
      <c r="T54" s="19">
        <v>1357436.34</v>
      </c>
      <c r="U54" s="15">
        <v>31.24</v>
      </c>
      <c r="V54" s="19">
        <v>1314393.79</v>
      </c>
      <c r="W54" s="32">
        <v>24.8</v>
      </c>
      <c r="X54" s="19">
        <v>1271638.1299999999</v>
      </c>
      <c r="Y54" s="32">
        <v>13.77</v>
      </c>
      <c r="Z54" s="19">
        <v>1196620.6499999999</v>
      </c>
      <c r="AA54" s="32">
        <v>3.77</v>
      </c>
      <c r="AB54" s="19">
        <v>1193647.3600000001</v>
      </c>
      <c r="AC54" s="32">
        <v>3.66</v>
      </c>
      <c r="AD54" s="19">
        <v>1234508.1000000001</v>
      </c>
      <c r="AE54" s="32">
        <v>9.9600000000000009</v>
      </c>
      <c r="AF54" s="19">
        <v>1030987.15</v>
      </c>
      <c r="AG54" s="32">
        <v>4.91</v>
      </c>
      <c r="AH54" s="19">
        <v>2182105.86</v>
      </c>
      <c r="AI54" s="32">
        <v>1756.74</v>
      </c>
      <c r="AJ54" s="19">
        <v>1109553.82</v>
      </c>
      <c r="AK54" s="32">
        <v>4.6100000000000003</v>
      </c>
      <c r="AL54" s="19">
        <v>1988791.12</v>
      </c>
      <c r="AM54" s="32">
        <v>4.29</v>
      </c>
      <c r="AN54" s="19">
        <v>1199126.8500000001</v>
      </c>
      <c r="AO54" s="32">
        <v>4.32</v>
      </c>
      <c r="AP54" s="19">
        <v>1364313.94</v>
      </c>
      <c r="AQ54" s="32">
        <v>4.3899999999999997</v>
      </c>
      <c r="AR54" s="19">
        <v>1407425.15</v>
      </c>
      <c r="AS54" s="32">
        <v>58.33</v>
      </c>
      <c r="AT54" s="19">
        <v>181579.76</v>
      </c>
      <c r="AU54" s="32"/>
      <c r="AV54" s="19">
        <v>1139453.96</v>
      </c>
      <c r="AW54" s="32">
        <v>4.45</v>
      </c>
      <c r="AX54" s="19">
        <v>1519777.46</v>
      </c>
      <c r="AY54" s="32">
        <v>4.43</v>
      </c>
      <c r="AZ54" s="19">
        <v>1419248.86</v>
      </c>
      <c r="BA54" s="32">
        <v>4.47</v>
      </c>
      <c r="BB54" s="19">
        <v>1451579.45</v>
      </c>
      <c r="BC54" s="32">
        <v>4.42</v>
      </c>
      <c r="BD54" s="19"/>
      <c r="BE54" s="32"/>
      <c r="BF54" s="19"/>
      <c r="BG54" s="32"/>
    </row>
    <row r="55" spans="1:59" x14ac:dyDescent="0.25">
      <c r="A55" s="8">
        <v>6828341</v>
      </c>
      <c r="B55" s="11" t="s">
        <v>52</v>
      </c>
      <c r="C55" s="10">
        <v>55026</v>
      </c>
      <c r="D55" s="15">
        <v>500000</v>
      </c>
      <c r="E55" s="15">
        <v>1500000</v>
      </c>
      <c r="F55" s="19">
        <v>136196.51999999999</v>
      </c>
      <c r="G55" s="19"/>
      <c r="H55" s="19">
        <v>224263.22</v>
      </c>
      <c r="I55" s="19"/>
      <c r="J55" s="19">
        <v>280110.75</v>
      </c>
      <c r="K55" s="19"/>
      <c r="L55" s="19">
        <v>238605.21</v>
      </c>
      <c r="M55" s="31">
        <v>-11.24</v>
      </c>
      <c r="N55" s="19">
        <v>413819.92</v>
      </c>
      <c r="O55" s="31">
        <v>-11.23</v>
      </c>
      <c r="P55" s="19">
        <v>283154.90999999997</v>
      </c>
      <c r="Q55" s="31">
        <v>-11.14</v>
      </c>
      <c r="R55" s="19">
        <v>254227.08</v>
      </c>
      <c r="S55" s="31">
        <v>-11.14</v>
      </c>
      <c r="T55" s="19">
        <v>184835.87</v>
      </c>
      <c r="U55" s="31">
        <v>-11.14</v>
      </c>
      <c r="V55" s="19">
        <v>263796.77</v>
      </c>
      <c r="W55" s="31">
        <v>-11.14</v>
      </c>
      <c r="X55" s="19">
        <v>262554.2</v>
      </c>
      <c r="Y55" s="19">
        <v>-11.14</v>
      </c>
      <c r="Z55" s="19">
        <v>386145.34</v>
      </c>
      <c r="AA55" s="19">
        <v>-11.14</v>
      </c>
      <c r="AB55" s="19">
        <v>301607.03000000003</v>
      </c>
      <c r="AC55" s="19">
        <v>-11.14</v>
      </c>
      <c r="AD55" s="19">
        <v>240477.71</v>
      </c>
      <c r="AE55" s="19">
        <v>-11.14</v>
      </c>
      <c r="AF55" s="19">
        <v>301373.96999999997</v>
      </c>
      <c r="AG55" s="19">
        <v>-11.14</v>
      </c>
      <c r="AH55" s="19">
        <v>282519.26</v>
      </c>
      <c r="AI55" s="19">
        <v>-11.14</v>
      </c>
      <c r="AJ55" s="19">
        <v>270074.93</v>
      </c>
      <c r="AK55" s="19">
        <v>-11.12</v>
      </c>
      <c r="AL55" s="19">
        <v>352780.76</v>
      </c>
      <c r="AM55" s="19">
        <v>-11.12</v>
      </c>
      <c r="AN55" s="19">
        <v>316164.36</v>
      </c>
      <c r="AO55" s="19">
        <v>-11.12</v>
      </c>
      <c r="AP55" s="19">
        <v>218087.37</v>
      </c>
      <c r="AQ55" s="19">
        <v>-11.12</v>
      </c>
      <c r="AR55" s="19">
        <v>256167.99</v>
      </c>
      <c r="AS55" s="19">
        <v>-11.12</v>
      </c>
      <c r="AT55" s="19">
        <v>390337.72</v>
      </c>
      <c r="AU55" s="19">
        <v>-11.12</v>
      </c>
      <c r="AV55" s="19">
        <v>333558.05</v>
      </c>
      <c r="AW55" s="19">
        <v>-11.12</v>
      </c>
      <c r="AX55" s="19">
        <v>283231.35999999999</v>
      </c>
      <c r="AY55" s="19">
        <v>-11.12</v>
      </c>
      <c r="AZ55" s="19">
        <v>364830.91</v>
      </c>
      <c r="BA55" s="19">
        <v>-11.12</v>
      </c>
      <c r="BB55" s="19">
        <v>251687.15</v>
      </c>
      <c r="BC55" s="19">
        <v>-11.12</v>
      </c>
      <c r="BD55" s="19"/>
      <c r="BE55" s="19"/>
      <c r="BF55" s="19"/>
      <c r="BG55" s="19"/>
    </row>
    <row r="56" spans="1:59" x14ac:dyDescent="0.25">
      <c r="A56" s="8">
        <v>6863425</v>
      </c>
      <c r="B56" s="9" t="s">
        <v>53</v>
      </c>
      <c r="C56" s="10">
        <v>11623</v>
      </c>
      <c r="D56" s="15">
        <v>10000000</v>
      </c>
      <c r="E56" s="15">
        <v>30000000</v>
      </c>
      <c r="F56" s="19">
        <v>1569115.13</v>
      </c>
      <c r="G56" s="19">
        <v>28.01</v>
      </c>
      <c r="H56" s="19">
        <v>1544176.4</v>
      </c>
      <c r="I56" s="19">
        <v>4724.75</v>
      </c>
      <c r="J56" s="19">
        <v>2083960.21</v>
      </c>
      <c r="K56" s="19">
        <v>128.94999999999999</v>
      </c>
      <c r="L56" s="19">
        <v>3341116.16</v>
      </c>
      <c r="M56" s="31">
        <v>-515.84</v>
      </c>
      <c r="N56" s="19">
        <v>2549294.7000000002</v>
      </c>
      <c r="O56" s="19">
        <v>689.45</v>
      </c>
      <c r="P56" s="19">
        <v>3523082.35</v>
      </c>
      <c r="Q56" s="19">
        <v>1347.54</v>
      </c>
      <c r="R56" s="19">
        <v>2538876.5299999998</v>
      </c>
      <c r="S56" s="19">
        <v>297.81</v>
      </c>
      <c r="T56" s="15">
        <v>3777982.12</v>
      </c>
      <c r="U56" s="19">
        <v>1897.49</v>
      </c>
      <c r="V56" s="19">
        <v>2653725.39</v>
      </c>
      <c r="W56" s="19">
        <v>766.81</v>
      </c>
      <c r="X56" s="19">
        <v>2653183.04</v>
      </c>
      <c r="Y56" s="19">
        <v>14.08</v>
      </c>
      <c r="Z56" s="19">
        <v>3430541.29</v>
      </c>
      <c r="AA56" s="19">
        <v>31.86</v>
      </c>
      <c r="AB56" s="19">
        <v>3542066.39</v>
      </c>
      <c r="AC56" s="19">
        <v>890.99</v>
      </c>
      <c r="AD56" s="19">
        <v>3058593.99</v>
      </c>
      <c r="AE56" s="19">
        <v>286.66000000000003</v>
      </c>
      <c r="AF56" s="19">
        <v>3492674.3</v>
      </c>
      <c r="AG56" s="19">
        <v>755.16</v>
      </c>
      <c r="AH56" s="19">
        <v>4161724.29</v>
      </c>
      <c r="AI56" s="19">
        <v>1848.86</v>
      </c>
      <c r="AJ56" s="19">
        <v>3215731.89</v>
      </c>
      <c r="AK56" s="19">
        <v>42.79</v>
      </c>
      <c r="AL56" s="19">
        <v>954310.33</v>
      </c>
      <c r="AM56" s="19">
        <v>570.19000000000005</v>
      </c>
      <c r="AN56" s="19">
        <v>675129.96</v>
      </c>
      <c r="AO56" s="19">
        <v>757.19</v>
      </c>
      <c r="AP56" s="19">
        <v>3484009.8</v>
      </c>
      <c r="AQ56" s="19">
        <v>2174.58</v>
      </c>
      <c r="AR56" s="19">
        <v>3642455.04</v>
      </c>
      <c r="AS56" s="19">
        <v>3144.75</v>
      </c>
      <c r="AT56" s="19">
        <v>3815554.79</v>
      </c>
      <c r="AU56" s="19">
        <v>3914.85</v>
      </c>
      <c r="AV56" s="19">
        <v>2478711.27</v>
      </c>
      <c r="AW56" s="19">
        <v>1418.13</v>
      </c>
      <c r="AX56" s="19">
        <v>3181647.39</v>
      </c>
      <c r="AY56" s="19">
        <v>1113.07</v>
      </c>
      <c r="AZ56" s="19">
        <v>3147204.11</v>
      </c>
      <c r="BA56" s="19">
        <v>2184.04</v>
      </c>
      <c r="BB56" s="19">
        <v>3093005.05</v>
      </c>
      <c r="BC56" s="19">
        <v>1812.43</v>
      </c>
      <c r="BD56" s="19"/>
      <c r="BE56" s="19"/>
      <c r="BF56" s="19"/>
      <c r="BG56" s="19"/>
    </row>
    <row r="57" spans="1:59" s="37" customFormat="1" x14ac:dyDescent="0.25">
      <c r="A57" s="26">
        <v>6863430</v>
      </c>
      <c r="B57" s="43" t="s">
        <v>54</v>
      </c>
      <c r="C57" s="28">
        <v>54212</v>
      </c>
      <c r="D57" s="29"/>
      <c r="E57" s="29"/>
      <c r="F57" s="30">
        <v>9934.31</v>
      </c>
      <c r="G57" s="30"/>
      <c r="H57" s="30">
        <v>9934.31</v>
      </c>
      <c r="I57" s="30"/>
      <c r="J57" s="30">
        <v>10934.31</v>
      </c>
      <c r="K57" s="30"/>
      <c r="L57" s="30">
        <v>10934.31</v>
      </c>
      <c r="M57" s="30"/>
      <c r="N57" s="30">
        <v>11934.31</v>
      </c>
      <c r="O57" s="30"/>
      <c r="P57" s="30">
        <v>11934.31</v>
      </c>
      <c r="Q57" s="30"/>
      <c r="R57" s="30">
        <v>79143.429999999993</v>
      </c>
      <c r="S57" s="30"/>
      <c r="T57" s="30">
        <v>66643.39</v>
      </c>
      <c r="U57" s="29"/>
      <c r="V57" s="44">
        <v>66643.39</v>
      </c>
      <c r="W57" s="30"/>
      <c r="X57" s="44">
        <v>66643.39</v>
      </c>
      <c r="Y57" s="30"/>
      <c r="Z57" s="44">
        <v>66643.39</v>
      </c>
      <c r="AA57" s="30"/>
      <c r="AB57" s="44">
        <v>66643.39</v>
      </c>
      <c r="AC57" s="30"/>
      <c r="AD57" s="44">
        <v>66643.39</v>
      </c>
      <c r="AE57" s="30"/>
      <c r="AF57" s="44">
        <v>66643.39</v>
      </c>
      <c r="AG57" s="30"/>
      <c r="AH57" s="44">
        <v>66643.39</v>
      </c>
      <c r="AI57" s="30"/>
      <c r="AJ57" s="44">
        <v>66643.39</v>
      </c>
      <c r="AK57" s="30"/>
      <c r="AL57" s="44">
        <v>66643.39</v>
      </c>
      <c r="AM57" s="30"/>
      <c r="AN57" s="44">
        <v>66642.789999999994</v>
      </c>
      <c r="AO57" s="30"/>
      <c r="AP57" s="44">
        <v>134.31</v>
      </c>
      <c r="AQ57" s="30"/>
      <c r="AR57" s="44">
        <v>134.31</v>
      </c>
      <c r="AS57" s="30"/>
      <c r="AT57" s="44">
        <v>134.31</v>
      </c>
      <c r="AU57" s="30"/>
      <c r="AV57" s="44">
        <v>134.31</v>
      </c>
      <c r="AW57" s="30"/>
      <c r="AX57" s="44">
        <v>134.31</v>
      </c>
      <c r="AY57" s="30"/>
      <c r="AZ57" s="44">
        <v>134.31</v>
      </c>
      <c r="BA57" s="30"/>
      <c r="BB57" s="44"/>
      <c r="BC57" s="30"/>
      <c r="BD57" s="44"/>
      <c r="BE57" s="30"/>
      <c r="BF57" s="44"/>
      <c r="BG57" s="30"/>
    </row>
    <row r="58" spans="1:59" s="37" customFormat="1" x14ac:dyDescent="0.25">
      <c r="A58" s="26">
        <v>7016010</v>
      </c>
      <c r="B58" s="27" t="s">
        <v>55</v>
      </c>
      <c r="C58" s="28">
        <v>20720</v>
      </c>
      <c r="D58" s="29"/>
      <c r="E58" s="29"/>
      <c r="F58" s="30">
        <v>22088.15</v>
      </c>
      <c r="G58" s="30"/>
      <c r="H58" s="30">
        <v>24333.95</v>
      </c>
      <c r="I58" s="30"/>
      <c r="J58" s="30">
        <v>14467.65</v>
      </c>
      <c r="K58" s="30"/>
      <c r="L58" s="30">
        <v>30318.31</v>
      </c>
      <c r="M58" s="30"/>
      <c r="N58" s="30">
        <v>15465.43</v>
      </c>
      <c r="O58" s="30"/>
      <c r="P58" s="36">
        <v>-37.26</v>
      </c>
      <c r="Q58" s="30"/>
      <c r="R58" s="30">
        <v>22241.31</v>
      </c>
      <c r="S58" s="30"/>
      <c r="T58" s="29">
        <v>24943.66</v>
      </c>
      <c r="U58" s="30"/>
      <c r="V58" s="30">
        <v>14791.05</v>
      </c>
      <c r="W58" s="30"/>
      <c r="X58" s="30">
        <v>31157.47</v>
      </c>
      <c r="Y58" s="30"/>
      <c r="Z58" s="30">
        <v>48758.62</v>
      </c>
      <c r="AA58" s="30"/>
      <c r="AB58" s="30">
        <v>983.59</v>
      </c>
      <c r="AC58" s="30"/>
      <c r="AD58" s="30" t="s">
        <v>74</v>
      </c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</row>
    <row r="59" spans="1:59" x14ac:dyDescent="0.25">
      <c r="A59" s="8">
        <v>7051565</v>
      </c>
      <c r="B59" s="9" t="s">
        <v>56</v>
      </c>
      <c r="C59" s="10">
        <v>58319</v>
      </c>
      <c r="D59" s="15">
        <v>11000</v>
      </c>
      <c r="E59" s="15">
        <v>22000</v>
      </c>
      <c r="F59" s="19">
        <v>134.31</v>
      </c>
      <c r="G59" s="19"/>
      <c r="H59" s="19">
        <v>497.31</v>
      </c>
      <c r="I59" s="19"/>
      <c r="J59" s="19">
        <v>497.31</v>
      </c>
      <c r="K59" s="19"/>
      <c r="L59" s="19">
        <v>497.31</v>
      </c>
      <c r="M59" s="19"/>
      <c r="N59" s="19">
        <v>134.31</v>
      </c>
      <c r="O59" s="19"/>
      <c r="P59" s="19">
        <v>134.31</v>
      </c>
      <c r="Q59" s="19"/>
      <c r="R59" s="19">
        <v>134.31</v>
      </c>
      <c r="S59" s="19"/>
      <c r="T59" s="19">
        <v>134.31</v>
      </c>
      <c r="U59" s="19"/>
      <c r="V59" s="19">
        <v>134.31</v>
      </c>
      <c r="W59" s="19"/>
      <c r="X59" s="19">
        <v>134.31</v>
      </c>
      <c r="Y59" s="19"/>
      <c r="Z59" s="19">
        <v>134.31</v>
      </c>
      <c r="AA59" s="19"/>
      <c r="AB59" s="19">
        <v>134.31</v>
      </c>
      <c r="AC59" s="19"/>
      <c r="AD59" s="19">
        <v>134.31</v>
      </c>
      <c r="AE59" s="19"/>
      <c r="AF59" s="19">
        <v>497.31</v>
      </c>
      <c r="AG59" s="19"/>
      <c r="AH59" s="19">
        <v>497.31</v>
      </c>
      <c r="AI59" s="19"/>
      <c r="AJ59" s="19">
        <v>497.31</v>
      </c>
      <c r="AK59" s="19"/>
      <c r="AL59" s="19">
        <v>134.31</v>
      </c>
      <c r="AM59" s="19"/>
      <c r="AN59" s="19">
        <v>134.31</v>
      </c>
      <c r="AO59" s="19"/>
      <c r="AP59" s="19">
        <v>134.31</v>
      </c>
      <c r="AQ59" s="19"/>
      <c r="AR59" s="19">
        <v>134.31</v>
      </c>
      <c r="AS59" s="19"/>
      <c r="AT59" s="19">
        <v>134.31</v>
      </c>
      <c r="AU59" s="19"/>
      <c r="AV59" s="19">
        <v>134.31</v>
      </c>
      <c r="AW59" s="19"/>
      <c r="AX59" s="19">
        <v>134.31</v>
      </c>
      <c r="AY59" s="19"/>
      <c r="AZ59" s="19">
        <v>134.31</v>
      </c>
      <c r="BA59" s="19"/>
      <c r="BB59" s="19">
        <v>134.31</v>
      </c>
      <c r="BC59" s="19"/>
      <c r="BD59" s="19"/>
      <c r="BE59" s="19"/>
      <c r="BF59" s="19"/>
      <c r="BG59" s="19"/>
    </row>
    <row r="60" spans="1:59" x14ac:dyDescent="0.25">
      <c r="A60" s="8">
        <v>7058201</v>
      </c>
      <c r="B60" s="9" t="s">
        <v>57</v>
      </c>
      <c r="C60" s="10">
        <v>54864</v>
      </c>
      <c r="D60" s="15">
        <v>600000</v>
      </c>
      <c r="E60" s="15">
        <v>1200000</v>
      </c>
      <c r="F60" s="19">
        <v>37609.43</v>
      </c>
      <c r="G60" s="19"/>
      <c r="H60" s="19">
        <v>59841.65</v>
      </c>
      <c r="I60" s="19"/>
      <c r="J60" s="19">
        <v>230660.75</v>
      </c>
      <c r="K60" s="19"/>
      <c r="L60" s="19">
        <v>109773.64</v>
      </c>
      <c r="M60" s="19"/>
      <c r="N60" s="19">
        <v>156656.19</v>
      </c>
      <c r="O60" s="19"/>
      <c r="P60" s="19">
        <v>186000.91</v>
      </c>
      <c r="Q60" s="19"/>
      <c r="R60" s="19">
        <v>180415.03</v>
      </c>
      <c r="S60" s="19"/>
      <c r="T60" s="19">
        <v>138100.43</v>
      </c>
      <c r="U60" s="19"/>
      <c r="V60" s="19">
        <v>169173.37</v>
      </c>
      <c r="W60" s="19"/>
      <c r="X60" s="19">
        <v>232773.08</v>
      </c>
      <c r="Y60" s="19"/>
      <c r="Z60" s="19">
        <v>193941.19</v>
      </c>
      <c r="AA60" s="19"/>
      <c r="AB60" s="19">
        <v>306877.68</v>
      </c>
      <c r="AC60" s="19"/>
      <c r="AD60" s="19">
        <v>265063.48</v>
      </c>
      <c r="AE60" s="19"/>
      <c r="AF60" s="19">
        <v>207541.34</v>
      </c>
      <c r="AG60" s="19"/>
      <c r="AH60" s="19">
        <v>213973.03</v>
      </c>
      <c r="AI60" s="19"/>
      <c r="AJ60" s="19">
        <v>201569.88</v>
      </c>
      <c r="AK60" s="19"/>
      <c r="AL60" s="19">
        <v>278305.82</v>
      </c>
      <c r="AM60" s="19"/>
      <c r="AN60" s="19">
        <v>196642.99</v>
      </c>
      <c r="AO60" s="19"/>
      <c r="AP60" s="19">
        <v>222743.78</v>
      </c>
      <c r="AQ60" s="19"/>
      <c r="AR60" s="19">
        <v>252918.06</v>
      </c>
      <c r="AS60" s="19"/>
      <c r="AT60" s="19">
        <v>307626.95</v>
      </c>
      <c r="AU60" s="19"/>
      <c r="AV60" s="19">
        <v>194488.69</v>
      </c>
      <c r="AW60" s="19"/>
      <c r="AX60" s="19">
        <v>222019.76</v>
      </c>
      <c r="AY60" s="19"/>
      <c r="AZ60" s="19">
        <v>196718.84</v>
      </c>
      <c r="BA60" s="19"/>
      <c r="BB60" s="19">
        <v>280643.45</v>
      </c>
      <c r="BC60" s="19"/>
      <c r="BD60" s="19"/>
      <c r="BE60" s="19"/>
      <c r="BF60" s="19"/>
      <c r="BG60" s="19"/>
    </row>
    <row r="61" spans="1:59" x14ac:dyDescent="0.25">
      <c r="A61" s="8">
        <v>7348657</v>
      </c>
      <c r="B61" s="9" t="s">
        <v>58</v>
      </c>
      <c r="C61" s="10">
        <v>54718</v>
      </c>
      <c r="D61" s="15">
        <v>1500000</v>
      </c>
      <c r="E61" s="15">
        <v>3000000</v>
      </c>
      <c r="F61" s="19">
        <v>536155.80000000005</v>
      </c>
      <c r="G61" s="19"/>
      <c r="H61" s="19">
        <v>451546.04</v>
      </c>
      <c r="I61" s="19"/>
      <c r="J61" s="19">
        <v>579973.6</v>
      </c>
      <c r="K61" s="19"/>
      <c r="L61" s="19">
        <v>678657.83</v>
      </c>
      <c r="M61" s="19"/>
      <c r="N61" s="19">
        <v>750422.79</v>
      </c>
      <c r="O61" s="19"/>
      <c r="P61" s="19">
        <v>730752.62</v>
      </c>
      <c r="Q61" s="19"/>
      <c r="R61" s="19">
        <v>610068.75</v>
      </c>
      <c r="S61" s="19"/>
      <c r="T61" s="15">
        <v>496405.13</v>
      </c>
      <c r="U61" s="19">
        <v>31.78</v>
      </c>
      <c r="V61" s="19">
        <v>946736.19</v>
      </c>
      <c r="W61" s="19"/>
      <c r="X61" s="19">
        <v>349893.94</v>
      </c>
      <c r="Y61" s="19"/>
      <c r="Z61" s="19">
        <v>777571.83</v>
      </c>
      <c r="AA61" s="19"/>
      <c r="AB61" s="19">
        <v>1123591.33</v>
      </c>
      <c r="AC61" s="19"/>
      <c r="AD61" s="19">
        <v>1214642.06</v>
      </c>
      <c r="AE61" s="19"/>
      <c r="AF61" s="19">
        <v>1005097.95</v>
      </c>
      <c r="AG61" s="19"/>
      <c r="AH61" s="19">
        <v>922029.74</v>
      </c>
      <c r="AI61" s="19">
        <v>11.99</v>
      </c>
      <c r="AJ61" s="19">
        <v>1136801.44</v>
      </c>
      <c r="AK61" s="19"/>
      <c r="AL61" s="19">
        <v>977680.1</v>
      </c>
      <c r="AM61" s="19"/>
      <c r="AN61" s="19">
        <v>1540023.73</v>
      </c>
      <c r="AO61" s="19"/>
      <c r="AP61" s="19">
        <v>2560568.7000000002</v>
      </c>
      <c r="AQ61" s="19">
        <v>70</v>
      </c>
      <c r="AR61" s="19">
        <v>2176282.96</v>
      </c>
      <c r="AS61" s="19"/>
      <c r="AT61" s="19">
        <v>2318100.77</v>
      </c>
      <c r="AU61" s="19"/>
      <c r="AV61" s="19">
        <v>2022784.33</v>
      </c>
      <c r="AW61" s="19"/>
      <c r="AX61" s="19">
        <v>1932442.47</v>
      </c>
      <c r="AY61" s="19"/>
      <c r="AZ61" s="19">
        <v>1979240.03</v>
      </c>
      <c r="BA61" s="19"/>
      <c r="BB61" s="19">
        <v>1901338.87</v>
      </c>
      <c r="BC61" s="19"/>
      <c r="BD61" s="19"/>
      <c r="BE61" s="19"/>
      <c r="BF61" s="19"/>
      <c r="BG61" s="19"/>
    </row>
    <row r="62" spans="1:59" x14ac:dyDescent="0.25">
      <c r="A62" s="8">
        <v>7479220</v>
      </c>
      <c r="B62" s="9" t="s">
        <v>59</v>
      </c>
      <c r="C62" s="10">
        <v>54857</v>
      </c>
      <c r="D62" s="15">
        <v>1500000</v>
      </c>
      <c r="E62" s="15">
        <v>3000000</v>
      </c>
      <c r="F62" s="19">
        <v>128801.86</v>
      </c>
      <c r="G62" s="19"/>
      <c r="H62" s="19">
        <v>161765.12</v>
      </c>
      <c r="I62" s="19"/>
      <c r="J62" s="19">
        <v>302311.37</v>
      </c>
      <c r="K62" s="19"/>
      <c r="L62" s="19">
        <v>235640.81</v>
      </c>
      <c r="M62" s="19"/>
      <c r="N62" s="19">
        <v>538917.51</v>
      </c>
      <c r="O62" s="19"/>
      <c r="P62" s="19">
        <v>515858.97</v>
      </c>
      <c r="Q62" s="19"/>
      <c r="R62" s="19">
        <v>298109.65000000002</v>
      </c>
      <c r="S62" s="19"/>
      <c r="T62" s="15">
        <v>323505.68</v>
      </c>
      <c r="U62" s="19"/>
      <c r="V62" s="19">
        <v>285729.69</v>
      </c>
      <c r="W62" s="19"/>
      <c r="X62" s="19">
        <v>422210.22</v>
      </c>
      <c r="Y62" s="19">
        <v>335.93</v>
      </c>
      <c r="Z62" s="19">
        <v>105656.65</v>
      </c>
      <c r="AA62" s="19"/>
      <c r="AB62" s="19">
        <v>-209.04</v>
      </c>
      <c r="AC62" s="19"/>
      <c r="AD62" s="19">
        <v>-74.73</v>
      </c>
      <c r="AE62" s="19"/>
      <c r="AF62" s="19">
        <v>193030.58</v>
      </c>
      <c r="AG62" s="19"/>
      <c r="AH62" s="19">
        <v>8568.06</v>
      </c>
      <c r="AI62" s="19"/>
      <c r="AJ62" s="19">
        <v>1014426.8</v>
      </c>
      <c r="AK62" s="19"/>
      <c r="AL62" s="19">
        <v>1459143.23</v>
      </c>
      <c r="AM62" s="19"/>
      <c r="AN62" s="19">
        <v>122516</v>
      </c>
      <c r="AO62" s="19"/>
      <c r="AP62" s="19">
        <v>-2849.69</v>
      </c>
      <c r="AQ62" s="19"/>
      <c r="AR62" s="19">
        <v>-2715.38</v>
      </c>
      <c r="AS62" s="19"/>
      <c r="AT62" s="19">
        <v>-6005.07</v>
      </c>
      <c r="AU62" s="19"/>
      <c r="AV62" s="19">
        <v>485271.4</v>
      </c>
      <c r="AW62" s="19">
        <v>496.68</v>
      </c>
      <c r="AX62" s="19">
        <v>395596.94</v>
      </c>
      <c r="AY62" s="19"/>
      <c r="AZ62" s="19">
        <v>-4268.75</v>
      </c>
      <c r="BA62" s="19"/>
      <c r="BB62" s="19">
        <v>282228.05</v>
      </c>
      <c r="BC62" s="19"/>
      <c r="BD62" s="19"/>
      <c r="BE62" s="19"/>
      <c r="BF62" s="19"/>
      <c r="BG62" s="19"/>
    </row>
    <row r="63" spans="1:59" x14ac:dyDescent="0.25">
      <c r="A63" s="8">
        <v>8221786</v>
      </c>
      <c r="B63" s="9" t="s">
        <v>81</v>
      </c>
      <c r="C63" s="10">
        <v>58440</v>
      </c>
      <c r="D63" s="15">
        <v>2500000</v>
      </c>
      <c r="E63" s="15">
        <v>5000000</v>
      </c>
      <c r="F63" s="19">
        <v>1478614.78</v>
      </c>
      <c r="G63" s="19"/>
      <c r="H63" s="19">
        <v>1148142.3600000001</v>
      </c>
      <c r="I63" s="19"/>
      <c r="J63" s="19">
        <v>1719227.66</v>
      </c>
      <c r="K63" s="19"/>
      <c r="L63" s="19">
        <v>1319939.6499999999</v>
      </c>
      <c r="M63" s="19">
        <v>6.99</v>
      </c>
      <c r="N63" s="19">
        <v>1248699.43</v>
      </c>
      <c r="O63" s="19">
        <v>6.99</v>
      </c>
      <c r="P63" s="19">
        <v>1091389.8</v>
      </c>
      <c r="Q63" s="19">
        <v>6.99</v>
      </c>
      <c r="R63" s="19">
        <v>1316143.52</v>
      </c>
      <c r="S63" s="19"/>
      <c r="T63" s="15">
        <v>1416383.41</v>
      </c>
      <c r="U63" s="19"/>
      <c r="V63" s="19">
        <v>1689916.73</v>
      </c>
      <c r="W63" s="19">
        <v>20.97</v>
      </c>
      <c r="X63" s="19">
        <v>2174354.31</v>
      </c>
      <c r="Y63" s="19">
        <v>25.65</v>
      </c>
      <c r="Z63" s="19">
        <v>2070437.85</v>
      </c>
      <c r="AA63" s="19">
        <v>14.99</v>
      </c>
      <c r="AB63" s="19">
        <v>1810840.14</v>
      </c>
      <c r="AC63" s="19">
        <v>19.39</v>
      </c>
      <c r="AD63" s="19">
        <v>1672396.13</v>
      </c>
      <c r="AE63" s="19"/>
      <c r="AF63" s="19">
        <v>1904587.6</v>
      </c>
      <c r="AG63" s="19">
        <v>14.99</v>
      </c>
      <c r="AH63" s="19">
        <v>1790580.06</v>
      </c>
      <c r="AI63" s="19">
        <v>29.98</v>
      </c>
      <c r="AJ63" s="19">
        <v>1995114.95</v>
      </c>
      <c r="AK63" s="19"/>
      <c r="AL63" s="19">
        <v>2399422.21</v>
      </c>
      <c r="AM63" s="19">
        <v>29.28</v>
      </c>
      <c r="AN63" s="19">
        <v>2531424.66</v>
      </c>
      <c r="AO63" s="19">
        <v>4.8099999999999996</v>
      </c>
      <c r="AP63" s="19">
        <v>2126731.4700000002</v>
      </c>
      <c r="AQ63" s="19">
        <v>14.99</v>
      </c>
      <c r="AR63" s="19">
        <v>2593867.2999999998</v>
      </c>
      <c r="AS63" s="19">
        <v>29.98</v>
      </c>
      <c r="AT63" s="19">
        <v>2079176.74</v>
      </c>
      <c r="AU63" s="19"/>
      <c r="AV63" s="19">
        <v>2132056.31</v>
      </c>
      <c r="AW63" s="19">
        <v>14.99</v>
      </c>
      <c r="AX63" s="19">
        <v>2641142.3199999998</v>
      </c>
      <c r="AY63" s="19">
        <v>14.99</v>
      </c>
      <c r="AZ63" s="19">
        <v>2357939.2599999998</v>
      </c>
      <c r="BA63" s="19">
        <v>29.98</v>
      </c>
      <c r="BB63" s="19">
        <v>2102672.64</v>
      </c>
      <c r="BC63" s="19"/>
      <c r="BD63" s="19"/>
      <c r="BE63" s="19"/>
      <c r="BF63" s="19"/>
      <c r="BG63" s="19"/>
    </row>
    <row r="64" spans="1:59" x14ac:dyDescent="0.25">
      <c r="A64" s="8">
        <v>8352844</v>
      </c>
      <c r="B64" s="9" t="s">
        <v>60</v>
      </c>
      <c r="C64" s="10">
        <v>59000</v>
      </c>
      <c r="D64" s="15">
        <v>800000</v>
      </c>
      <c r="E64" s="15">
        <v>1600000</v>
      </c>
      <c r="F64" s="19">
        <v>14790.31</v>
      </c>
      <c r="G64" s="19"/>
      <c r="H64" s="19">
        <v>24698.2</v>
      </c>
      <c r="I64" s="19"/>
      <c r="J64" s="19">
        <v>15490.7</v>
      </c>
      <c r="K64" s="19"/>
      <c r="L64" s="19">
        <v>23993.360000000001</v>
      </c>
      <c r="M64" s="19"/>
      <c r="N64" s="19">
        <v>16572.09</v>
      </c>
      <c r="O64" s="19"/>
      <c r="P64" s="19">
        <v>18454.810000000001</v>
      </c>
      <c r="Q64" s="19"/>
      <c r="R64" s="19">
        <v>22871.73</v>
      </c>
      <c r="S64" s="19"/>
      <c r="T64" s="19">
        <v>21754.84</v>
      </c>
      <c r="U64" s="15"/>
      <c r="V64" s="19">
        <v>34168.379999999997</v>
      </c>
      <c r="W64" s="19"/>
      <c r="X64" s="19">
        <v>39854.32</v>
      </c>
      <c r="Y64" s="19"/>
      <c r="Z64" s="19">
        <v>42514.58</v>
      </c>
      <c r="AA64" s="19"/>
      <c r="AB64" s="19">
        <v>30592.68</v>
      </c>
      <c r="AC64" s="19"/>
      <c r="AD64" s="19">
        <v>37705.879999999997</v>
      </c>
      <c r="AE64" s="19"/>
      <c r="AF64" s="19">
        <v>121778.12</v>
      </c>
      <c r="AG64" s="19"/>
      <c r="AH64" s="19">
        <v>47098.54</v>
      </c>
      <c r="AI64" s="19">
        <v>0.49</v>
      </c>
      <c r="AJ64" s="19">
        <v>42950.37</v>
      </c>
      <c r="AK64" s="19"/>
      <c r="AL64" s="19">
        <v>40332.379999999997</v>
      </c>
      <c r="AM64" s="19">
        <v>0.98</v>
      </c>
      <c r="AN64" s="19">
        <v>40855.15</v>
      </c>
      <c r="AO64" s="19"/>
      <c r="AP64" s="19">
        <v>58062.64</v>
      </c>
      <c r="AQ64" s="19">
        <v>1.99</v>
      </c>
      <c r="AR64" s="19">
        <v>66269.53</v>
      </c>
      <c r="AS64" s="19">
        <v>3.98</v>
      </c>
      <c r="AT64" s="19">
        <v>156680.31</v>
      </c>
      <c r="AU64" s="19"/>
      <c r="AV64" s="19">
        <v>50726.8</v>
      </c>
      <c r="AW64" s="19">
        <v>1.99</v>
      </c>
      <c r="AX64" s="19">
        <v>61134.93</v>
      </c>
      <c r="AY64" s="19">
        <v>1.99</v>
      </c>
      <c r="AZ64" s="19">
        <v>70536.740000000005</v>
      </c>
      <c r="BA64" s="19">
        <v>4.2699999999999996</v>
      </c>
      <c r="BB64" s="19">
        <v>46970.33</v>
      </c>
      <c r="BC64" s="19">
        <v>0.28999999999999998</v>
      </c>
      <c r="BD64" s="19"/>
      <c r="BE64" s="19"/>
      <c r="BF64" s="19"/>
      <c r="BG64" s="19"/>
    </row>
    <row r="65" spans="1:59" x14ac:dyDescent="0.25">
      <c r="A65" s="8">
        <v>9421029</v>
      </c>
      <c r="B65" s="9" t="s">
        <v>61</v>
      </c>
      <c r="C65" s="10">
        <v>59558</v>
      </c>
      <c r="D65" s="15">
        <v>1800000</v>
      </c>
      <c r="E65" s="15">
        <v>3600000</v>
      </c>
      <c r="F65" s="19">
        <v>884339.61</v>
      </c>
      <c r="G65" s="19">
        <v>4.13</v>
      </c>
      <c r="H65" s="19">
        <v>679461.6</v>
      </c>
      <c r="I65" s="19">
        <v>4.8600000000000003</v>
      </c>
      <c r="J65" s="19">
        <v>693802.42</v>
      </c>
      <c r="K65" s="19">
        <v>4.8</v>
      </c>
      <c r="L65" s="19">
        <v>919196.31</v>
      </c>
      <c r="M65" s="19">
        <v>4.74</v>
      </c>
      <c r="N65" s="19">
        <v>858519.79</v>
      </c>
      <c r="O65" s="19">
        <v>5.93</v>
      </c>
      <c r="P65" s="19">
        <v>1172381.48</v>
      </c>
      <c r="Q65" s="19">
        <v>5.85</v>
      </c>
      <c r="R65" s="19">
        <v>715887.38</v>
      </c>
      <c r="S65" s="19">
        <v>5.78</v>
      </c>
      <c r="T65" s="15">
        <v>665345.77</v>
      </c>
      <c r="U65" s="19">
        <v>5.7</v>
      </c>
      <c r="V65" s="19">
        <v>1062668.5900000001</v>
      </c>
      <c r="W65" s="19">
        <v>5.63</v>
      </c>
      <c r="X65" s="19">
        <v>987564.96</v>
      </c>
      <c r="Y65" s="19">
        <v>5.58</v>
      </c>
      <c r="Z65" s="19">
        <v>1059770.3400000001</v>
      </c>
      <c r="AA65" s="19">
        <v>5.55</v>
      </c>
      <c r="AB65" s="19">
        <v>932237.71</v>
      </c>
      <c r="AC65" s="19">
        <v>5.35</v>
      </c>
      <c r="AD65" s="19">
        <v>648130.73</v>
      </c>
      <c r="AE65" s="19">
        <v>6.38</v>
      </c>
      <c r="AF65" s="19">
        <v>481624.58</v>
      </c>
      <c r="AG65" s="19">
        <v>6.25</v>
      </c>
      <c r="AH65" s="19">
        <v>635258.31000000006</v>
      </c>
      <c r="AI65" s="19">
        <v>5.95</v>
      </c>
      <c r="AJ65" s="19">
        <v>521509.08</v>
      </c>
      <c r="AK65" s="19">
        <v>5.8</v>
      </c>
      <c r="AL65" s="19">
        <v>562534.49</v>
      </c>
      <c r="AM65" s="19">
        <v>16.989999999999998</v>
      </c>
      <c r="AN65" s="19">
        <v>553315.81000000006</v>
      </c>
      <c r="AO65" s="19">
        <v>18.78</v>
      </c>
      <c r="AP65" s="19">
        <v>774250.53</v>
      </c>
      <c r="AQ65" s="19">
        <v>19.100000000000001</v>
      </c>
      <c r="AR65" s="19">
        <v>546616</v>
      </c>
      <c r="AS65" s="19">
        <v>7.53</v>
      </c>
      <c r="AT65" s="19">
        <v>424229.38</v>
      </c>
      <c r="AU65" s="19">
        <v>21.53</v>
      </c>
      <c r="AV65" s="19">
        <v>533915.05000000005</v>
      </c>
      <c r="AW65" s="19">
        <v>22.07</v>
      </c>
      <c r="AX65" s="19">
        <v>455857.5</v>
      </c>
      <c r="AY65" s="19">
        <v>40.229999999999997</v>
      </c>
      <c r="AZ65" s="19">
        <v>781017.86</v>
      </c>
      <c r="BA65" s="19">
        <v>22.55</v>
      </c>
      <c r="BB65" s="19">
        <v>630815.34</v>
      </c>
      <c r="BC65" s="19">
        <v>22.05</v>
      </c>
      <c r="BD65" s="19"/>
      <c r="BE65" s="19"/>
      <c r="BF65" s="19"/>
      <c r="BG65" s="19"/>
    </row>
    <row r="66" spans="1:59" x14ac:dyDescent="0.25">
      <c r="A66" s="8"/>
      <c r="B66" s="9"/>
      <c r="C66" s="10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5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</row>
    <row r="67" spans="1:59" x14ac:dyDescent="0.25">
      <c r="A67" s="8">
        <v>972504</v>
      </c>
      <c r="B67" s="11" t="s">
        <v>62</v>
      </c>
      <c r="C67" s="10">
        <v>451</v>
      </c>
      <c r="D67" s="15">
        <v>20000000</v>
      </c>
      <c r="E67" s="15">
        <v>20000000</v>
      </c>
      <c r="F67" s="19">
        <v>158646.62</v>
      </c>
      <c r="G67" s="19">
        <v>29.7</v>
      </c>
      <c r="H67" s="19">
        <v>16468.62</v>
      </c>
      <c r="I67" s="19">
        <v>29.79</v>
      </c>
      <c r="J67" s="19">
        <v>396562.76</v>
      </c>
      <c r="K67" s="19">
        <v>179.38</v>
      </c>
      <c r="L67" s="19">
        <v>934487.62</v>
      </c>
      <c r="M67" s="19">
        <v>29.35</v>
      </c>
      <c r="N67" s="19">
        <v>1252861.3999999999</v>
      </c>
      <c r="O67" s="19">
        <v>29.48</v>
      </c>
      <c r="P67" s="19">
        <v>720937.12</v>
      </c>
      <c r="Q67" s="19">
        <v>29.82</v>
      </c>
      <c r="R67" s="19">
        <v>1576278.46</v>
      </c>
      <c r="S67" s="19">
        <v>29.65</v>
      </c>
      <c r="T67" s="19">
        <v>255898.62</v>
      </c>
      <c r="U67" s="19">
        <v>29.29</v>
      </c>
      <c r="V67" s="19">
        <v>162618.62</v>
      </c>
      <c r="W67" s="19">
        <v>29.17</v>
      </c>
      <c r="X67" s="19">
        <v>22698.62</v>
      </c>
      <c r="Y67" s="19">
        <v>29.76</v>
      </c>
      <c r="Z67" s="19">
        <v>23975.53</v>
      </c>
      <c r="AA67" s="19">
        <v>30.11</v>
      </c>
      <c r="AB67" s="19">
        <v>23902.93</v>
      </c>
      <c r="AC67" s="19">
        <v>35.57</v>
      </c>
      <c r="AD67" s="19">
        <v>533662.93000000005</v>
      </c>
      <c r="AE67" s="19">
        <v>39.22</v>
      </c>
      <c r="AF67" s="19">
        <v>503592.93</v>
      </c>
      <c r="AG67" s="19">
        <v>41.36</v>
      </c>
      <c r="AH67" s="19">
        <v>106307.28</v>
      </c>
      <c r="AI67" s="19">
        <v>316.57</v>
      </c>
      <c r="AJ67" s="19">
        <v>635005.96</v>
      </c>
      <c r="AK67" s="19">
        <v>42.98</v>
      </c>
      <c r="AL67" s="19">
        <v>687070.73</v>
      </c>
      <c r="AM67" s="19">
        <v>43.36</v>
      </c>
      <c r="AN67" s="19">
        <v>389615.53</v>
      </c>
      <c r="AO67" s="19">
        <v>43.47</v>
      </c>
      <c r="AP67" s="19">
        <v>2460647.79</v>
      </c>
      <c r="AQ67" s="19">
        <v>41.57</v>
      </c>
      <c r="AR67" s="19">
        <v>4177349.89</v>
      </c>
      <c r="AS67" s="19">
        <v>44</v>
      </c>
      <c r="AT67" s="19">
        <v>4855063.05</v>
      </c>
      <c r="AU67" s="19">
        <v>44.04</v>
      </c>
      <c r="AV67" s="19">
        <v>4505875.38</v>
      </c>
      <c r="AW67" s="19">
        <v>44.69</v>
      </c>
      <c r="AX67" s="19">
        <v>5922978.8399999999</v>
      </c>
      <c r="AY67" s="19">
        <v>202.7</v>
      </c>
      <c r="AZ67" s="19">
        <v>4209961.04</v>
      </c>
      <c r="BA67" s="19">
        <v>43.05</v>
      </c>
      <c r="BB67" s="19">
        <v>5426336.8300000001</v>
      </c>
      <c r="BC67" s="19">
        <v>43.5</v>
      </c>
      <c r="BD67" s="19"/>
      <c r="BE67" s="19"/>
      <c r="BF67" s="19"/>
      <c r="BG67" s="19"/>
    </row>
    <row r="68" spans="1:59" x14ac:dyDescent="0.25">
      <c r="A68" s="38">
        <v>999451</v>
      </c>
      <c r="B68" s="11" t="s">
        <v>63</v>
      </c>
      <c r="C68" s="10">
        <v>6206</v>
      </c>
      <c r="D68" s="15">
        <v>2000000</v>
      </c>
      <c r="E68" s="15">
        <v>2000000</v>
      </c>
      <c r="F68" s="19">
        <v>81983.600000000006</v>
      </c>
      <c r="G68" s="19"/>
      <c r="H68" s="19">
        <v>170648.6</v>
      </c>
      <c r="I68" s="19"/>
      <c r="J68" s="19">
        <v>190201.92</v>
      </c>
      <c r="K68" s="19"/>
      <c r="L68" s="19">
        <v>317891.19</v>
      </c>
      <c r="M68" s="19"/>
      <c r="N68" s="19">
        <v>271626.18</v>
      </c>
      <c r="O68" s="19"/>
      <c r="P68" s="19">
        <v>242813.88</v>
      </c>
      <c r="Q68" s="19"/>
      <c r="R68" s="19">
        <v>68579.679999999993</v>
      </c>
      <c r="S68" s="19"/>
      <c r="T68" s="19">
        <v>132879.67999999999</v>
      </c>
      <c r="V68" s="19">
        <v>260878.18</v>
      </c>
      <c r="W68" s="19"/>
      <c r="X68" s="19">
        <v>74691.399999999994</v>
      </c>
      <c r="Y68" s="19"/>
      <c r="Z68" s="19">
        <v>79357.399999999994</v>
      </c>
      <c r="AA68" s="19"/>
      <c r="AB68" s="19">
        <v>113357.4</v>
      </c>
      <c r="AC68" s="19"/>
      <c r="AD68" s="19">
        <v>90460.38</v>
      </c>
      <c r="AE68" s="19"/>
      <c r="AF68" s="19">
        <v>226128.38</v>
      </c>
      <c r="AG68" s="19"/>
      <c r="AH68" s="19">
        <v>258977.67</v>
      </c>
      <c r="AI68" s="19"/>
      <c r="AJ68" s="19">
        <v>85794.38</v>
      </c>
      <c r="AK68" s="19"/>
      <c r="AL68" s="19">
        <v>85866.98</v>
      </c>
      <c r="AM68" s="19"/>
      <c r="AN68" s="19">
        <v>86012.18</v>
      </c>
      <c r="AO68" s="19"/>
      <c r="AP68" s="19">
        <v>98562.81</v>
      </c>
      <c r="AQ68" s="19"/>
      <c r="AR68" s="19">
        <v>98562.81</v>
      </c>
      <c r="AS68" s="19"/>
      <c r="AT68" s="19">
        <v>197894.11</v>
      </c>
      <c r="AU68" s="19"/>
      <c r="AV68" s="19">
        <v>268420.17</v>
      </c>
      <c r="AW68" s="19"/>
      <c r="AX68" s="19">
        <v>106394.11</v>
      </c>
      <c r="AY68" s="19"/>
      <c r="AZ68" s="19">
        <v>285223.31</v>
      </c>
      <c r="BA68" s="19"/>
      <c r="BB68" s="19">
        <v>114323.31</v>
      </c>
      <c r="BC68" s="19"/>
      <c r="BD68" s="19"/>
      <c r="BE68" s="19"/>
      <c r="BF68" s="19"/>
      <c r="BG68" s="19"/>
    </row>
    <row r="69" spans="1:59" x14ac:dyDescent="0.25">
      <c r="A69" s="8">
        <v>971359</v>
      </c>
      <c r="B69" s="11" t="s">
        <v>64</v>
      </c>
      <c r="C69" s="10">
        <v>59750</v>
      </c>
      <c r="D69" s="15">
        <v>19700000</v>
      </c>
      <c r="E69" s="15">
        <v>19700000</v>
      </c>
      <c r="F69" s="19">
        <v>4967353.97</v>
      </c>
      <c r="G69" s="19">
        <v>43.17</v>
      </c>
      <c r="H69" s="19">
        <v>5192911.34</v>
      </c>
      <c r="I69" s="19">
        <v>19.59</v>
      </c>
      <c r="J69" s="19">
        <v>4077508.4</v>
      </c>
      <c r="K69" s="19">
        <v>66.31</v>
      </c>
      <c r="L69" s="19">
        <v>3949073.48</v>
      </c>
      <c r="M69" s="19">
        <v>535.88</v>
      </c>
      <c r="N69" s="19">
        <v>5621622.2000000002</v>
      </c>
      <c r="O69" s="19">
        <v>142.76</v>
      </c>
      <c r="P69" s="19">
        <v>4528594.71</v>
      </c>
      <c r="Q69" s="19">
        <v>70.489999999999995</v>
      </c>
      <c r="R69" s="19">
        <v>4537441.54</v>
      </c>
      <c r="S69" s="19">
        <v>43.32</v>
      </c>
      <c r="T69" s="15">
        <v>3953846.57</v>
      </c>
      <c r="U69" s="19">
        <v>129.30000000000001</v>
      </c>
      <c r="V69" s="19">
        <v>4856438.3099999996</v>
      </c>
      <c r="W69" s="19">
        <v>69.94</v>
      </c>
      <c r="X69" s="19">
        <v>5611711.9199999999</v>
      </c>
      <c r="Y69" s="19">
        <v>21.13</v>
      </c>
      <c r="Z69" s="19">
        <v>5122192.62</v>
      </c>
      <c r="AA69" s="19">
        <v>64.41</v>
      </c>
      <c r="AB69" s="19">
        <v>6354189.5</v>
      </c>
      <c r="AC69" s="19">
        <v>2519.38</v>
      </c>
      <c r="AD69" s="19">
        <v>5497806.9699999997</v>
      </c>
      <c r="AE69" s="19">
        <v>439.22</v>
      </c>
      <c r="AF69" s="19">
        <v>9797041.0899999999</v>
      </c>
      <c r="AG69" s="19">
        <v>1672.05</v>
      </c>
      <c r="AH69" s="19">
        <v>8091023.3099999996</v>
      </c>
      <c r="AI69" s="19">
        <v>78.849999999999994</v>
      </c>
      <c r="AJ69" s="19">
        <v>7433263.2300000004</v>
      </c>
      <c r="AK69" s="19">
        <v>36.979999999999997</v>
      </c>
      <c r="AL69" s="19">
        <v>7152700.54</v>
      </c>
      <c r="AM69" s="19">
        <v>219.48</v>
      </c>
      <c r="AN69" s="19">
        <v>5540347.1900000004</v>
      </c>
      <c r="AO69" s="19">
        <v>58.17</v>
      </c>
      <c r="AP69" s="19">
        <v>7377952.96</v>
      </c>
      <c r="AQ69" s="19">
        <v>36.6</v>
      </c>
      <c r="AR69" s="19">
        <v>7405771.6200000001</v>
      </c>
      <c r="AS69" s="19">
        <v>120.33</v>
      </c>
      <c r="AT69" s="19">
        <v>6619394.79</v>
      </c>
      <c r="AU69" s="19">
        <v>164.51</v>
      </c>
      <c r="AV69" s="19">
        <v>6444749.2300000004</v>
      </c>
      <c r="AW69" s="19">
        <v>71.400000000000006</v>
      </c>
      <c r="AX69" s="19">
        <v>14119575.01</v>
      </c>
      <c r="AY69" s="19">
        <v>1486.89</v>
      </c>
      <c r="AZ69" s="19">
        <v>7237043.2699999996</v>
      </c>
      <c r="BA69" s="19">
        <v>487.75</v>
      </c>
      <c r="BB69" s="19">
        <v>7757156.9199999999</v>
      </c>
      <c r="BC69" s="19">
        <v>2736.86</v>
      </c>
      <c r="BD69" s="19"/>
      <c r="BE69" s="19"/>
      <c r="BF69" s="19"/>
      <c r="BG69" s="19"/>
    </row>
    <row r="70" spans="1:59" x14ac:dyDescent="0.25">
      <c r="A70" s="8">
        <v>984714</v>
      </c>
      <c r="B70" s="11" t="s">
        <v>65</v>
      </c>
      <c r="C70" s="10">
        <v>85455</v>
      </c>
      <c r="D70" s="15">
        <v>2000000</v>
      </c>
      <c r="E70" s="15">
        <v>2000000</v>
      </c>
      <c r="F70" s="19">
        <v>94571.38</v>
      </c>
      <c r="G70" s="19"/>
      <c r="H70" s="19">
        <v>207378.83</v>
      </c>
      <c r="I70" s="19"/>
      <c r="J70" s="19">
        <v>132957.56</v>
      </c>
      <c r="K70" s="19"/>
      <c r="L70" s="19">
        <v>220977.1</v>
      </c>
      <c r="M70" s="19">
        <v>20.73</v>
      </c>
      <c r="N70" s="19">
        <v>68524.94</v>
      </c>
      <c r="O70" s="19"/>
      <c r="P70" s="19">
        <v>93990.06</v>
      </c>
      <c r="Q70" s="19"/>
      <c r="R70" s="19">
        <v>551.83000000000004</v>
      </c>
      <c r="S70" s="19"/>
      <c r="T70" s="19">
        <v>26530.74</v>
      </c>
      <c r="V70" s="19">
        <v>27551.82</v>
      </c>
      <c r="W70" s="19"/>
      <c r="X70" s="19">
        <v>27551.82</v>
      </c>
      <c r="Y70" s="19"/>
      <c r="Z70" s="15">
        <v>68575.28</v>
      </c>
      <c r="AA70" s="19"/>
      <c r="AB70" s="19">
        <v>269.83999999999997</v>
      </c>
      <c r="AC70" s="19"/>
      <c r="AD70" s="19">
        <v>562.04</v>
      </c>
      <c r="AE70" s="19"/>
      <c r="AF70" s="19">
        <v>265.26</v>
      </c>
      <c r="AG70" s="19"/>
      <c r="AH70" s="19">
        <v>306.14</v>
      </c>
      <c r="AI70" s="19"/>
      <c r="AJ70" s="19">
        <v>176.93</v>
      </c>
      <c r="AK70" s="19"/>
      <c r="AL70" s="19">
        <v>271.44</v>
      </c>
      <c r="AM70" s="19"/>
      <c r="AN70" s="19">
        <v>1986764.96</v>
      </c>
      <c r="AO70" s="19"/>
      <c r="AP70" s="19">
        <v>774406.52</v>
      </c>
      <c r="AQ70" s="19">
        <v>174</v>
      </c>
      <c r="AR70" s="19">
        <v>335938.71</v>
      </c>
      <c r="AS70" s="19">
        <v>27</v>
      </c>
      <c r="AT70" s="19">
        <v>916427.12</v>
      </c>
      <c r="AU70" s="19">
        <v>45</v>
      </c>
      <c r="AV70" s="19">
        <v>775549.02</v>
      </c>
      <c r="AW70" s="19">
        <v>70.81</v>
      </c>
      <c r="AX70" s="19">
        <v>205426.57</v>
      </c>
      <c r="AY70" s="19">
        <v>45</v>
      </c>
      <c r="AZ70" s="19">
        <v>-634892.64</v>
      </c>
      <c r="BA70" s="19">
        <v>45</v>
      </c>
      <c r="BB70" s="19">
        <v>-570442.77</v>
      </c>
      <c r="BC70" s="19">
        <v>45</v>
      </c>
      <c r="BD70" s="19"/>
      <c r="BE70" s="19"/>
      <c r="BF70" s="19"/>
      <c r="BG70" s="19"/>
    </row>
    <row r="71" spans="1:59" x14ac:dyDescent="0.25">
      <c r="A71" s="8">
        <v>987864</v>
      </c>
      <c r="B71" s="11" t="s">
        <v>66</v>
      </c>
      <c r="C71" s="10">
        <v>1645</v>
      </c>
      <c r="D71" s="15">
        <v>3000000</v>
      </c>
      <c r="E71" s="15">
        <v>3000000</v>
      </c>
      <c r="F71" s="19">
        <v>934294.69</v>
      </c>
      <c r="G71" s="19"/>
      <c r="H71" s="19">
        <v>1295191.4099999999</v>
      </c>
      <c r="I71" s="19"/>
      <c r="J71" s="19">
        <v>1242068.58</v>
      </c>
      <c r="K71" s="19"/>
      <c r="L71" s="19">
        <v>1606274.11</v>
      </c>
      <c r="M71" s="19"/>
      <c r="N71" s="19">
        <v>1370051.19</v>
      </c>
      <c r="O71" s="19">
        <v>59.5</v>
      </c>
      <c r="P71" s="19">
        <v>1612790.38</v>
      </c>
      <c r="Q71" s="19"/>
      <c r="R71" s="19">
        <v>1436212.89</v>
      </c>
      <c r="S71" s="19"/>
      <c r="T71" s="15">
        <v>1582184.19</v>
      </c>
      <c r="U71" s="19"/>
      <c r="V71" s="19">
        <v>1721991.19</v>
      </c>
      <c r="W71" s="19"/>
      <c r="X71" s="19">
        <v>1308313.25</v>
      </c>
      <c r="Y71" s="19"/>
      <c r="Z71" s="19">
        <v>2045868.19</v>
      </c>
      <c r="AA71" s="19"/>
      <c r="AB71" s="19">
        <v>1562858.2</v>
      </c>
      <c r="AC71" s="19"/>
      <c r="AD71" s="19">
        <v>1662014.52</v>
      </c>
      <c r="AE71" s="19"/>
      <c r="AF71" s="19">
        <v>1766318.82</v>
      </c>
      <c r="AG71" s="19"/>
      <c r="AH71" s="19">
        <v>1758442.73</v>
      </c>
      <c r="AI71" s="19"/>
      <c r="AJ71" s="19">
        <v>1812385.31</v>
      </c>
      <c r="AK71" s="19"/>
      <c r="AL71" s="19">
        <v>1982950.76</v>
      </c>
      <c r="AM71" s="19">
        <v>59.5</v>
      </c>
      <c r="AN71" s="19">
        <v>1986764.96</v>
      </c>
      <c r="AO71" s="19"/>
      <c r="AP71" s="19">
        <v>1780125.38</v>
      </c>
      <c r="AQ71" s="19"/>
      <c r="AR71" s="19">
        <v>1942285.2</v>
      </c>
      <c r="AS71" s="19"/>
      <c r="AT71" s="19">
        <v>2492094.5499999998</v>
      </c>
      <c r="AU71" s="19"/>
      <c r="AV71" s="19">
        <v>2357519.92</v>
      </c>
      <c r="AW71" s="19"/>
      <c r="AX71" s="19">
        <v>3008724.8</v>
      </c>
      <c r="AY71" s="19"/>
      <c r="AZ71" s="19">
        <v>2050268.8</v>
      </c>
      <c r="BA71" s="19"/>
      <c r="BB71" s="19">
        <v>3339469.59</v>
      </c>
      <c r="BC71" s="19"/>
      <c r="BD71" s="19"/>
      <c r="BE71" s="19"/>
      <c r="BF71" s="19"/>
      <c r="BG71" s="19"/>
    </row>
    <row r="72" spans="1:59" x14ac:dyDescent="0.25">
      <c r="A72" s="8">
        <v>970026</v>
      </c>
      <c r="B72" s="11" t="s">
        <v>67</v>
      </c>
      <c r="C72" s="10">
        <v>58781</v>
      </c>
      <c r="D72" s="15">
        <v>1500000</v>
      </c>
      <c r="E72" s="15">
        <v>1500000</v>
      </c>
      <c r="F72" s="20">
        <v>134.31</v>
      </c>
      <c r="G72" s="20">
        <v>607.55999999999995</v>
      </c>
      <c r="H72" s="20">
        <v>134.31</v>
      </c>
      <c r="I72" s="20">
        <v>105.99</v>
      </c>
      <c r="J72" s="20">
        <v>134.31</v>
      </c>
      <c r="K72" s="20"/>
      <c r="L72" s="20" t="s">
        <v>82</v>
      </c>
      <c r="M72" s="20"/>
      <c r="N72" s="20">
        <v>420433.44</v>
      </c>
      <c r="O72" s="20">
        <v>1137.5999999999999</v>
      </c>
      <c r="P72" s="20" t="s">
        <v>83</v>
      </c>
      <c r="Q72" s="20"/>
      <c r="R72" s="20" t="s">
        <v>84</v>
      </c>
      <c r="S72" s="20">
        <v>238.8</v>
      </c>
      <c r="T72" s="20">
        <v>924407.52</v>
      </c>
      <c r="U72" s="20"/>
      <c r="V72" s="20">
        <v>268.62</v>
      </c>
      <c r="W72" s="20"/>
      <c r="X72" s="20">
        <v>1112775.02</v>
      </c>
      <c r="Y72" s="20"/>
      <c r="Z72" s="20">
        <v>123411.97</v>
      </c>
      <c r="AA72" s="20"/>
      <c r="AB72" s="20">
        <v>56153.67</v>
      </c>
      <c r="AC72" s="20">
        <v>159.9</v>
      </c>
      <c r="AD72" s="20">
        <v>521847.79</v>
      </c>
      <c r="AE72" s="20"/>
      <c r="AF72" s="20">
        <v>35154.74</v>
      </c>
      <c r="AG72" s="20">
        <v>105.99</v>
      </c>
      <c r="AH72" s="20">
        <v>-19943.900000000001</v>
      </c>
      <c r="AI72" s="20">
        <v>42</v>
      </c>
      <c r="AJ72" s="20">
        <v>119731.72</v>
      </c>
      <c r="AK72" s="20"/>
      <c r="AL72" s="20">
        <v>259252.62</v>
      </c>
      <c r="AM72" s="20"/>
      <c r="AN72" s="20">
        <v>268.62</v>
      </c>
      <c r="AO72" s="20"/>
      <c r="AP72" s="20">
        <v>479271.86</v>
      </c>
      <c r="AQ72" s="20">
        <v>138.80000000000001</v>
      </c>
      <c r="AR72" s="20">
        <v>976268.99</v>
      </c>
      <c r="AS72" s="20"/>
      <c r="AT72" s="20">
        <v>268.62</v>
      </c>
      <c r="AU72" s="20"/>
      <c r="AV72" s="20">
        <v>341.22</v>
      </c>
      <c r="AW72" s="20"/>
      <c r="AX72" s="20">
        <v>135451.96</v>
      </c>
      <c r="AY72" s="20"/>
      <c r="AZ72" s="20">
        <v>206376.71</v>
      </c>
      <c r="BA72" s="20">
        <v>169.9</v>
      </c>
      <c r="BB72" s="20">
        <v>135451.95000000001</v>
      </c>
      <c r="BC72" s="20"/>
      <c r="BD72" s="20"/>
      <c r="BE72" s="20"/>
      <c r="BF72" s="20"/>
      <c r="BG72" s="20"/>
    </row>
    <row r="73" spans="1:59" x14ac:dyDescent="0.25">
      <c r="F73" s="21">
        <f t="shared" ref="F73:K73" si="0">SUM(F5:F72)</f>
        <v>25145838.079999998</v>
      </c>
      <c r="G73" s="21">
        <f t="shared" si="0"/>
        <v>994.01</v>
      </c>
      <c r="H73" s="21">
        <f t="shared" si="0"/>
        <v>28309487.93999999</v>
      </c>
      <c r="I73" s="21">
        <f t="shared" si="0"/>
        <v>6253.76</v>
      </c>
      <c r="J73" s="21">
        <f t="shared" si="0"/>
        <v>28353142.430000003</v>
      </c>
      <c r="K73" s="21">
        <f t="shared" si="0"/>
        <v>1224.67</v>
      </c>
      <c r="L73" s="21">
        <f t="shared" ref="L73:S73" si="1">SUM(L5:L72)</f>
        <v>32366755.259999998</v>
      </c>
      <c r="M73" s="21">
        <f t="shared" si="1"/>
        <v>812.23000000000013</v>
      </c>
      <c r="N73" s="21">
        <f>SUM(N5:N72)</f>
        <v>34093382.390000001</v>
      </c>
      <c r="O73" s="21">
        <f t="shared" si="1"/>
        <v>2338.38</v>
      </c>
      <c r="P73" s="21">
        <f>SUM(P5:P72)</f>
        <v>36289836.950000003</v>
      </c>
      <c r="Q73" s="21">
        <f t="shared" si="1"/>
        <v>2010.6499999999999</v>
      </c>
      <c r="R73" s="21">
        <f>SUM(R5:R72)</f>
        <v>33212528.25999999</v>
      </c>
      <c r="S73" s="21">
        <f t="shared" si="1"/>
        <v>1352.31</v>
      </c>
      <c r="T73" s="21">
        <f>SUM(T5:T72)</f>
        <v>42479941.020000003</v>
      </c>
      <c r="U73" s="21">
        <f>SUM(U5:U72)</f>
        <v>2765.2200000000003</v>
      </c>
      <c r="V73" s="21">
        <f>SUM(V5:V72)</f>
        <v>37407609.729999997</v>
      </c>
      <c r="W73" s="21">
        <f>SUM(W5:W72)</f>
        <v>2394.1899999999996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</row>
    <row r="74" spans="1:59" x14ac:dyDescent="0.25">
      <c r="F74" s="15"/>
      <c r="G74" s="15"/>
      <c r="H74" s="15"/>
      <c r="I74" s="15"/>
      <c r="J74" s="15"/>
      <c r="K74" s="15"/>
    </row>
    <row r="75" spans="1:59" x14ac:dyDescent="0.25">
      <c r="C75" t="s">
        <v>69</v>
      </c>
      <c r="D75" s="15">
        <f>SUM(D5:D74)</f>
        <v>135942400</v>
      </c>
      <c r="E75" s="15">
        <f>SUM(E5:E74)</f>
        <v>243684800</v>
      </c>
      <c r="F75" s="15"/>
      <c r="G75" s="15"/>
      <c r="H75" s="15"/>
      <c r="I75" s="15"/>
      <c r="J75" s="15"/>
      <c r="K75" s="15"/>
    </row>
  </sheetData>
  <mergeCells count="55">
    <mergeCell ref="AN1:AO1"/>
    <mergeCell ref="AN2:AO2"/>
    <mergeCell ref="AP1:AQ1"/>
    <mergeCell ref="AP2:AQ2"/>
    <mergeCell ref="AR1:AS1"/>
    <mergeCell ref="AR2:AS2"/>
    <mergeCell ref="AJ1:AK1"/>
    <mergeCell ref="AL1:AM1"/>
    <mergeCell ref="AJ2:AK2"/>
    <mergeCell ref="AL2:AM2"/>
    <mergeCell ref="A1:C1"/>
    <mergeCell ref="F1:G1"/>
    <mergeCell ref="F2:G2"/>
    <mergeCell ref="H1:I1"/>
    <mergeCell ref="H2:I2"/>
    <mergeCell ref="T1:U1"/>
    <mergeCell ref="V1:W1"/>
    <mergeCell ref="T2:U2"/>
    <mergeCell ref="V2:W2"/>
    <mergeCell ref="J1:K1"/>
    <mergeCell ref="J2:K2"/>
    <mergeCell ref="L1:M1"/>
    <mergeCell ref="L2:M2"/>
    <mergeCell ref="N1:O1"/>
    <mergeCell ref="P1:Q1"/>
    <mergeCell ref="R1:S1"/>
    <mergeCell ref="N2:O2"/>
    <mergeCell ref="P2:Q2"/>
    <mergeCell ref="R2:S2"/>
    <mergeCell ref="X1:Y1"/>
    <mergeCell ref="X2:Y2"/>
    <mergeCell ref="Z1:AA1"/>
    <mergeCell ref="Z2:AA2"/>
    <mergeCell ref="AB1:AC1"/>
    <mergeCell ref="AD1:AE1"/>
    <mergeCell ref="AB2:AC2"/>
    <mergeCell ref="AD2:AE2"/>
    <mergeCell ref="AF1:AG1"/>
    <mergeCell ref="AH1:AI1"/>
    <mergeCell ref="AF2:AG2"/>
    <mergeCell ref="AH2:AI2"/>
    <mergeCell ref="AT1:AU1"/>
    <mergeCell ref="AT2:AU2"/>
    <mergeCell ref="AV1:AW1"/>
    <mergeCell ref="AV2:AW2"/>
    <mergeCell ref="AX1:AY1"/>
    <mergeCell ref="AX2:AY2"/>
    <mergeCell ref="BF1:BG1"/>
    <mergeCell ref="BF2:BG2"/>
    <mergeCell ref="AZ1:BA1"/>
    <mergeCell ref="AZ2:BA2"/>
    <mergeCell ref="BB1:BC1"/>
    <mergeCell ref="BB2:BC2"/>
    <mergeCell ref="BD1:BE1"/>
    <mergeCell ref="BD2:B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9F4B84DE837C4F871D847953099391" ma:contentTypeVersion="19" ma:contentTypeDescription="Crear nuevo documento." ma:contentTypeScope="" ma:versionID="263cfd3fa839fccb2f8f21b92941f920">
  <xsd:schema xmlns:xsd="http://www.w3.org/2001/XMLSchema" xmlns:xs="http://www.w3.org/2001/XMLSchema" xmlns:p="http://schemas.microsoft.com/office/2006/metadata/properties" xmlns:ns2="0a8f974f-0f9a-46b6-9bcc-f7639e41dd40" xmlns:ns3="8281beca-add5-41bc-bd52-1eb3d13116f3" targetNamespace="http://schemas.microsoft.com/office/2006/metadata/properties" ma:root="true" ma:fieldsID="38020d14e08e5038621ac432cc5957bc" ns2:_="" ns3:_="">
    <xsd:import namespace="0a8f974f-0f9a-46b6-9bcc-f7639e41dd40"/>
    <xsd:import namespace="8281beca-add5-41bc-bd52-1eb3d13116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f974f-0f9a-46b6-9bcc-f7639e41dd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dac8831b-3ce5-404b-b810-39f79b498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1beca-add5-41bc-bd52-1eb3d13116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4fbbb74-e9ff-457b-a879-0158dc30f83f}" ma:internalName="TaxCatchAll" ma:showField="CatchAllData" ma:web="8281beca-add5-41bc-bd52-1eb3d13116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8f974f-0f9a-46b6-9bcc-f7639e41dd40">
      <Terms xmlns="http://schemas.microsoft.com/office/infopath/2007/PartnerControls"/>
    </lcf76f155ced4ddcb4097134ff3c332f>
    <TaxCatchAll xmlns="8281beca-add5-41bc-bd52-1eb3d13116f3" xsi:nil="true"/>
  </documentManagement>
</p:properties>
</file>

<file path=customXml/itemProps1.xml><?xml version="1.0" encoding="utf-8"?>
<ds:datastoreItem xmlns:ds="http://schemas.openxmlformats.org/officeDocument/2006/customXml" ds:itemID="{96603E79-F974-49AE-BA58-8D9A9A518BF0}"/>
</file>

<file path=customXml/itemProps2.xml><?xml version="1.0" encoding="utf-8"?>
<ds:datastoreItem xmlns:ds="http://schemas.openxmlformats.org/officeDocument/2006/customXml" ds:itemID="{16DE034A-8632-4149-9579-3D377A475486}"/>
</file>

<file path=customXml/itemProps3.xml><?xml version="1.0" encoding="utf-8"?>
<ds:datastoreItem xmlns:ds="http://schemas.openxmlformats.org/officeDocument/2006/customXml" ds:itemID="{D6F9219E-5319-4E3D-BE60-A5AF2CF51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SCM2012PSP1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Alejandro</dc:creator>
  <cp:lastModifiedBy>Castro, Alejandro</cp:lastModifiedBy>
  <cp:lastPrinted>2024-08-13T15:45:12Z</cp:lastPrinted>
  <dcterms:created xsi:type="dcterms:W3CDTF">2024-08-13T15:30:06Z</dcterms:created>
  <dcterms:modified xsi:type="dcterms:W3CDTF">2026-06-02T15:35:09Z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0x010100BF9F4B84DE837C4F871D847953099391</vt:lpwstr>
  </property>
</Properties>
</file>